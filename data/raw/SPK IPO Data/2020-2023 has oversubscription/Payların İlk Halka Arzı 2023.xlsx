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ankfps03\Daireler\ad\2023_calismalari\SPK_site veri güncelleme\siteye yüklenecekler\"/>
    </mc:Choice>
  </mc:AlternateContent>
  <bookViews>
    <workbookView xWindow="0" yWindow="0" windowWidth="28800" windowHeight="12315"/>
  </bookViews>
  <sheets>
    <sheet name="Payların İlk Halka Arz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3" i="1" l="1"/>
  <c r="P43" i="1"/>
  <c r="N43" i="1"/>
  <c r="M43" i="1"/>
  <c r="L43" i="1"/>
  <c r="I43" i="1"/>
  <c r="H43" i="1"/>
  <c r="J15" i="1" l="1"/>
  <c r="J14" i="1"/>
  <c r="J13" i="1"/>
  <c r="J12" i="1"/>
  <c r="J11" i="1"/>
  <c r="J10" i="1"/>
  <c r="J9" i="1"/>
  <c r="J8" i="1"/>
  <c r="J7" i="1"/>
  <c r="J6" i="1"/>
  <c r="J5" i="1"/>
  <c r="J4" i="1"/>
  <c r="J3" i="1"/>
  <c r="K31" i="1" l="1"/>
  <c r="K32" i="1"/>
  <c r="K33" i="1"/>
  <c r="K34" i="1"/>
  <c r="K35" i="1"/>
  <c r="K36" i="1"/>
  <c r="K37" i="1"/>
  <c r="K38" i="1"/>
  <c r="K39" i="1"/>
  <c r="K40" i="1"/>
  <c r="K41" i="1"/>
  <c r="K30" i="1"/>
  <c r="Q34" i="1" l="1"/>
  <c r="Q35" i="1"/>
  <c r="Q36" i="1"/>
  <c r="Q30" i="1"/>
  <c r="Q31" i="1"/>
  <c r="Q32" i="1"/>
  <c r="Q33" i="1"/>
  <c r="Q37" i="1"/>
  <c r="Q38" i="1"/>
  <c r="Q39" i="1"/>
  <c r="Q40" i="1"/>
  <c r="Q41" i="1"/>
</calcChain>
</file>

<file path=xl/sharedStrings.xml><?xml version="1.0" encoding="utf-8"?>
<sst xmlns="http://schemas.openxmlformats.org/spreadsheetml/2006/main" count="218" uniqueCount="129">
  <si>
    <t>TOPLAM</t>
  </si>
  <si>
    <t>Nominal Ortak Satış Tutarı (TL)</t>
  </si>
  <si>
    <t>Nominal Sermaye Artış Tutarı (TL)</t>
  </si>
  <si>
    <t>Toplanan Fon Miktarı (TL)*</t>
  </si>
  <si>
    <t>İşlem Gördüğü Pazar</t>
  </si>
  <si>
    <t>Borsada İşlem Görme Tarihi</t>
  </si>
  <si>
    <t>Halka Arza Aracılık Eden Yetkili Kuruluş</t>
  </si>
  <si>
    <t>İzahname Onay
Kurul Karar Tarihi</t>
  </si>
  <si>
    <t>Şirket Adı</t>
  </si>
  <si>
    <t xml:space="preserve">Sıra              </t>
  </si>
  <si>
    <t xml:space="preserve">Halka Arz Tarihi
</t>
  </si>
  <si>
    <t>* Halka arzdan elde edilen toplam fon miktarı olup, sermaye artırımı, ek satış, portföyden satış vb. dahildir.</t>
  </si>
  <si>
    <t>Toplanan Fon Miktarı (USD)</t>
  </si>
  <si>
    <t>Halka Arz Sonrası Sermaye (TL)</t>
  </si>
  <si>
    <t>Talep Edilen Pay (Nominal TL)</t>
  </si>
  <si>
    <t>Talebin Halka Arza Oranı</t>
  </si>
  <si>
    <t>Dağıtımı Yapılan Yatırımcı Sayısı</t>
  </si>
  <si>
    <t>Satış Yöntemi**</t>
  </si>
  <si>
    <t>Halka Arz Fiyatı (TL)</t>
  </si>
  <si>
    <t>Yıldız Pazar</t>
  </si>
  <si>
    <t>Halka Arz Edilen Pay (Nominal TL)</t>
  </si>
  <si>
    <t>** Fiyat aralığı ile talep toplama yöntemi ile elde edilen halka arz gelirleri birim satış fiyatından hesaplanmıştır.</t>
  </si>
  <si>
    <t>Mevcut Sermaye (TL)</t>
  </si>
  <si>
    <t>Sabit Fiyatla TT</t>
  </si>
  <si>
    <t>Borsada Satış-Sabit fiyatla TT</t>
  </si>
  <si>
    <t>A1 Capital Yatırım Menkul Değerler A.Ş.</t>
  </si>
  <si>
    <t>10-11/08/2023</t>
  </si>
  <si>
    <t>İnfo Yatırım Menkul Değerler A.Ş.</t>
  </si>
  <si>
    <t>Garanti Yatırım Menkul Kıymetler A.Ş.</t>
  </si>
  <si>
    <t>Ünlü Menkul Değerler A.Ş.</t>
  </si>
  <si>
    <t>Ofis Yem Gıda Sanayi Ticaret A.Ş.</t>
  </si>
  <si>
    <t>İzdemir Enerji Elektrik Üretim A.Ş.</t>
  </si>
  <si>
    <t xml:space="preserve">Baydöner Restoranları </t>
  </si>
  <si>
    <t>Enerya Enerji A.Ş.</t>
  </si>
  <si>
    <t>Kuzugrup Gayrimenkul Yatırım Ortaklığı A.Ş.</t>
  </si>
  <si>
    <t>Ebebek Mağazacılık A.Ş.</t>
  </si>
  <si>
    <t>Tarkim Bitki Koruma Sanayi ve Ticaret A.Ş.</t>
  </si>
  <si>
    <t>Gıpta Ofis Kırtasiye ve Promosyon Ürünleri İmalat Sanayi A.Ş.</t>
  </si>
  <si>
    <t>Hat-San Gemi İnşaa Bakım Onarım Deniz Nakliyat Sanayi ve Ticaret A.Ş.</t>
  </si>
  <si>
    <t>Adra Gayrimenkul Yatırım Ortaklığı A.Ş.</t>
  </si>
  <si>
    <t>Reeder Teknoloji Sanayi ve Ticaret A.Ş.</t>
  </si>
  <si>
    <t>DMR Unlu Mamuller Üretim Gıda Toptan Perakende İhracat A.Ş.</t>
  </si>
  <si>
    <t>2023 YILI PAY İLK HALKA ARZLARI ÖZET DURUM TABLOSU</t>
  </si>
  <si>
    <t>Garanti Yatırım Menkul Değerler A.Ş.</t>
  </si>
  <si>
    <t>Halk Yatırım Menkul Değerler A.Ş.</t>
  </si>
  <si>
    <t>Tera Yatırım Menkul Kıymetler A.Ş.</t>
  </si>
  <si>
    <t>08-10/08/2023</t>
  </si>
  <si>
    <t>15-16/08/2023</t>
  </si>
  <si>
    <t>14-15-16/08/2023</t>
  </si>
  <si>
    <t>21-22-23/08/2023</t>
  </si>
  <si>
    <t>29/08-01/09/2023</t>
  </si>
  <si>
    <t>05-06/09/2023</t>
  </si>
  <si>
    <t>06-07-08/09/2023</t>
  </si>
  <si>
    <t>14-15/09/2023</t>
  </si>
  <si>
    <t>13-14-15/09/2023</t>
  </si>
  <si>
    <t>21-22/09/2023</t>
  </si>
  <si>
    <t>SDT Uzay ve Savunma Teknolojileri A.Ş.</t>
  </si>
  <si>
    <t>28-29/12/2022</t>
  </si>
  <si>
    <t xml:space="preserve">İnfo Yatırım Menkul Değerler A.Ş. </t>
  </si>
  <si>
    <t>Oncosem Onkolojik Sistemler Sanayi ve Ticaret A.Ş.</t>
  </si>
  <si>
    <t>Ana Pazar</t>
  </si>
  <si>
    <t>Söke Değirmencilik Sanayi ve Ticaret A.Ş.</t>
  </si>
  <si>
    <t>04-05-06/01/2023</t>
  </si>
  <si>
    <t>QNB Finans Yatırım Menkul Değerler A.Ş.</t>
  </si>
  <si>
    <t>Tapdi Oksijen Özel Sağlık ve Eğitim Hizmetleri Sanayi Ticaret A.Ş.</t>
  </si>
  <si>
    <t>05-06/01/2023</t>
  </si>
  <si>
    <t>Piramit Menkul Kıymetler A.Ş.</t>
  </si>
  <si>
    <t>Astor Enerji A.Ş.</t>
  </si>
  <si>
    <t>11-13/01/2023</t>
  </si>
  <si>
    <t>TEB Yatrırım Menkul Değerler A.Ş.</t>
  </si>
  <si>
    <t>Mackolik İnternet Hizmetleri Ticaret A.Ş.</t>
  </si>
  <si>
    <t>19-20/01/2023</t>
  </si>
  <si>
    <t>Bülbüloğlu Vinç Sanayi ve Ticaret A.Ş.</t>
  </si>
  <si>
    <t>26-30/01/2023</t>
  </si>
  <si>
    <t>Tera Yatırım Menkul Değerler A.Ş.</t>
  </si>
  <si>
    <t>Göknur Gıda Maddeleri Enerji İmalat İthalat İhracat Ticaret ve Sanayi A.Ş.</t>
  </si>
  <si>
    <t>01-02-03/03/2023</t>
  </si>
  <si>
    <t>Yapı Kredi Yatırım Menkul Değerler A.Ş.</t>
  </si>
  <si>
    <t>Akfen Yenilenebilir Enerji A.Ş.</t>
  </si>
  <si>
    <t>08-09-10/03/2023</t>
  </si>
  <si>
    <t>Eksun Gıda Tarım Sanayi ve Ticaret A.Ş.</t>
  </si>
  <si>
    <t>15-16-17/03/2023</t>
  </si>
  <si>
    <t>Koza Polyester Sanayi ve Ticaret A.Ş.</t>
  </si>
  <si>
    <t>05-06-07/04/2023</t>
  </si>
  <si>
    <t>CVK Maden İşletmeleri Sanayi ve Ticaret A.Ş.</t>
  </si>
  <si>
    <t>06-07/04/2023</t>
  </si>
  <si>
    <t>Europower Enerji ve Otomasyon Teknolojileri Sanayi Ticaret A.Ş.</t>
  </si>
  <si>
    <t>12-13-14/04/2023</t>
  </si>
  <si>
    <t>Ak Yatırım Menkul Değerler A.Ş.</t>
  </si>
  <si>
    <t>Graınturk Tarım A.Ş.</t>
  </si>
  <si>
    <t>18-19/04/2023</t>
  </si>
  <si>
    <t>Info Yatırım MD</t>
  </si>
  <si>
    <t xml:space="preserve">CW Enerji Mühendislik Ticaret ve Sanayi A.Ş. </t>
  </si>
  <si>
    <t>26-27-28/04/2023</t>
  </si>
  <si>
    <t>Deniz Yatırım MD</t>
  </si>
  <si>
    <t>Büyük Şefler Gıda Turizm Tekstil Danışmanlık Organizasyon Eğitim Sanayi ve Ticaret A.Ş.</t>
  </si>
  <si>
    <t>03-05/05/2023</t>
  </si>
  <si>
    <t>Deniz Yatırım - T. Kalkınma ve Yatırım Bankası liderliğinde konsorsiyum</t>
  </si>
  <si>
    <t>Kayseri Şeker Fabrikası A.Ş.</t>
  </si>
  <si>
    <t>10-11-12/05/2023</t>
  </si>
  <si>
    <t>Gedik Yatırım MD liderliğinde konsorsiyum </t>
  </si>
  <si>
    <t>Bien Yapı Ürünleri Sanayi Turizm ve Ticaret A.Ş.</t>
  </si>
  <si>
    <t>11-12/05/2023</t>
  </si>
  <si>
    <t>Ak Yatırım - Garanti Yatırım ve Yapı Kredi Yatırım liderliğinde konsorsiyum</t>
  </si>
  <si>
    <t>Katılımevim Tasarruf Finansman A.Ş.</t>
  </si>
  <si>
    <t>06-07/06/2024</t>
  </si>
  <si>
    <t>İnfo Yatırım MD</t>
  </si>
  <si>
    <t>Pasifik Eurasia Lojistik Dış Ticaret  A.Ş.</t>
  </si>
  <si>
    <t>06-07/06/2023</t>
  </si>
  <si>
    <t>Halk Yatırım MD liderliğinde konsorsiyum</t>
  </si>
  <si>
    <t>Forte Bilgi İletişim Teknolojileri ve Savunma Sanayi A.Ş.</t>
  </si>
  <si>
    <t>08-09/06/2023</t>
  </si>
  <si>
    <t>07-09/06/2023</t>
  </si>
  <si>
    <t>A1 Capital Yatırım MD liderliğinde konsorsiyum</t>
  </si>
  <si>
    <t xml:space="preserve">Kaleseramik Çanakkale Kalebodur Seramik Sanayi </t>
  </si>
  <si>
    <t>19-21/07/2023</t>
  </si>
  <si>
    <t>Ak yatırım MD</t>
  </si>
  <si>
    <t>Fuzul Gayrimenkul Yatırım Ortaklığı A.Ş.</t>
  </si>
  <si>
    <t>20-21/07/2023</t>
  </si>
  <si>
    <t>Halk Yatırım ve İntegral Yatırım MD liderliğinde konsorsiyum</t>
  </si>
  <si>
    <t>Atakey Patates Gıda Sanayi ve Ticaret A.Ş.</t>
  </si>
  <si>
    <t>İş Yatırım MD ve Ara Yatırım  liderliğinde konsorsiyum</t>
  </si>
  <si>
    <t>ASCE Gayrimenkul Yatırım Ortaklığı A.Ş.</t>
  </si>
  <si>
    <t>27-28/07/2023</t>
  </si>
  <si>
    <t>Halk Yatırım MD.</t>
  </si>
  <si>
    <t>Tatlıpınar Enerji Üretim A.Ş.</t>
  </si>
  <si>
    <t>İnfo Yatırım MD-Vakıf Yatırım liderliğinde konsorsiyum</t>
  </si>
  <si>
    <t xml:space="preserve">Ahlatcı Yatırım ,  Vakıf Yatırım Menkul Değerler A.Ş. </t>
  </si>
  <si>
    <t>TSKB, Yatırım Finansman ve Ziraat Yatırım Menkul Değerler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</si>
</sst>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3" tint="0.39997558519241921"/>
      <name val="Calibri"/>
      <family val="2"/>
      <charset val="162"/>
      <scheme val="minor"/>
    </font>
    <font>
      <b/>
      <sz val="12"/>
      <color theme="4" tint="-0.249977111117893"/>
      <name val="Calibri"/>
      <family val="2"/>
      <charset val="162"/>
      <scheme val="minor"/>
    </font>
    <font>
      <sz val="12"/>
      <color theme="4" tint="-0.249977111117893"/>
      <name val="Calibri"/>
      <family val="2"/>
      <charset val="162"/>
      <scheme val="minor"/>
    </font>
    <font>
      <b/>
      <sz val="14"/>
      <color theme="3" tint="0.39997558519241921"/>
      <name val="Calibri"/>
      <family val="2"/>
      <charset val="162"/>
      <scheme val="minor"/>
    </font>
    <font>
      <sz val="11"/>
      <color theme="1"/>
      <name val="Calibri"/>
      <scheme val="minor"/>
    </font>
    <font>
      <sz val="10"/>
      <name val="Arial"/>
      <family val="2"/>
      <charset val="162"/>
    </font>
    <font>
      <b/>
      <u val="double"/>
      <sz val="18"/>
      <color theme="4" tint="-0.24997711111789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9" fillId="0" borderId="0"/>
  </cellStyleXfs>
  <cellXfs count="37">
    <xf numFmtId="0" fontId="0" fillId="0" borderId="0" xfId="0"/>
    <xf numFmtId="0" fontId="0" fillId="0" borderId="0" xfId="0" applyFill="1"/>
    <xf numFmtId="0" fontId="0" fillId="2" borderId="0" xfId="0" applyFill="1" applyBorder="1"/>
    <xf numFmtId="0" fontId="4" fillId="2" borderId="0" xfId="0" applyFont="1" applyFill="1" applyBorder="1"/>
    <xf numFmtId="4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right"/>
    </xf>
    <xf numFmtId="1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" fontId="5" fillId="0" borderId="2" xfId="0" applyNumberFormat="1" applyFont="1" applyFill="1" applyBorder="1" applyAlignment="1">
      <alignment horizontal="right"/>
    </xf>
    <xf numFmtId="4" fontId="6" fillId="0" borderId="3" xfId="0" applyNumberFormat="1" applyFont="1" applyFill="1" applyBorder="1" applyAlignment="1">
      <alignment horizontal="right"/>
    </xf>
    <xf numFmtId="0" fontId="7" fillId="0" borderId="3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14" fontId="0" fillId="0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" fontId="5" fillId="0" borderId="3" xfId="0" applyNumberFormat="1" applyFont="1" applyFill="1" applyBorder="1" applyAlignment="1">
      <alignment horizontal="right"/>
    </xf>
    <xf numFmtId="3" fontId="0" fillId="0" borderId="3" xfId="0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4" fontId="3" fillId="0" borderId="3" xfId="0" applyNumberFormat="1" applyFont="1" applyFill="1" applyBorder="1" applyAlignment="1">
      <alignment horizontal="right"/>
    </xf>
    <xf numFmtId="14" fontId="8" fillId="0" borderId="3" xfId="0" applyNumberFormat="1" applyFont="1" applyFill="1" applyBorder="1" applyAlignment="1">
      <alignment horizontal="center"/>
    </xf>
    <xf numFmtId="4" fontId="8" fillId="0" borderId="3" xfId="0" applyNumberFormat="1" applyFont="1" applyFill="1" applyBorder="1" applyAlignment="1">
      <alignment horizontal="center"/>
    </xf>
    <xf numFmtId="14" fontId="8" fillId="0" borderId="3" xfId="0" applyNumberFormat="1" applyFont="1" applyFill="1" applyBorder="1" applyAlignment="1">
      <alignment horizontal="center" wrapText="1"/>
    </xf>
    <xf numFmtId="3" fontId="8" fillId="0" borderId="3" xfId="0" applyNumberFormat="1" applyFont="1" applyFill="1" applyBorder="1" applyAlignment="1">
      <alignment horizontal="right"/>
    </xf>
    <xf numFmtId="3" fontId="0" fillId="0" borderId="3" xfId="0" applyNumberFormat="1" applyFont="1" applyFill="1" applyBorder="1" applyAlignment="1"/>
    <xf numFmtId="4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horizontal="center"/>
    </xf>
    <xf numFmtId="3" fontId="1" fillId="0" borderId="3" xfId="0" applyNumberFormat="1" applyFont="1" applyFill="1" applyBorder="1" applyAlignment="1">
      <alignment horizontal="right"/>
    </xf>
    <xf numFmtId="3" fontId="1" fillId="0" borderId="3" xfId="0" applyNumberFormat="1" applyFont="1" applyFill="1" applyBorder="1" applyAlignment="1"/>
    <xf numFmtId="14" fontId="1" fillId="0" borderId="3" xfId="0" applyNumberFormat="1" applyFont="1" applyFill="1" applyBorder="1" applyAlignment="1">
      <alignment horizontal="center" wrapText="1"/>
    </xf>
    <xf numFmtId="0" fontId="10" fillId="0" borderId="0" xfId="0" applyFont="1" applyAlignment="1">
      <alignment horizontal="left" vertical="center"/>
    </xf>
  </cellXfs>
  <cellStyles count="2">
    <cellStyle name="Normal" xfId="0" builtinId="0"/>
    <cellStyle name="Normal 3" xfId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2:S45" totalsRowShown="0" headerRowDxfId="34" dataDxfId="32" headerRowBorderDxfId="33" tableBorderDxfId="31">
  <autoFilter ref="A2:S45"/>
  <sortState ref="A3:S26">
    <sortCondition ref="C2:C26"/>
  </sortState>
  <tableColumns count="19">
    <tableColumn id="1" name="Sıra              " dataDxfId="30" totalsRowDxfId="29"/>
    <tableColumn id="2" name="Şirket Adı" dataDxfId="28" totalsRowDxfId="27"/>
    <tableColumn id="6" name="İzahname Onay_x000a_Kurul Karar Tarihi" dataDxfId="26" totalsRowDxfId="25"/>
    <tableColumn id="19" name="Halka Arz Tarihi_x000a_" totalsRowDxfId="24"/>
    <tableColumn id="18" name="Borsada İşlem Görme Tarihi" totalsRowDxfId="23"/>
    <tableColumn id="20" name="Halka Arza Aracılık Eden Yetkili Kuruluş" dataDxfId="22" totalsRowDxfId="21"/>
    <tableColumn id="21" name="İşlem Gördüğü Pazar" dataDxfId="20" totalsRowDxfId="19"/>
    <tableColumn id="9" name="Toplanan Fon Miktarı (TL)*" dataDxfId="18" totalsRowDxfId="17"/>
    <tableColumn id="10" name="Toplanan Fon Miktarı (USD)" dataDxfId="16" totalsRowDxfId="15"/>
    <tableColumn id="7" name="Mevcut Sermaye (TL)" totalsRowDxfId="14"/>
    <tableColumn id="4" name="Halka Arz Sonrası Sermaye (TL)" totalsRowDxfId="13"/>
    <tableColumn id="3" name="Halka Arz Edilen Pay (Nominal TL)" dataDxfId="12" totalsRowDxfId="11">
      <calculatedColumnFormula>Table3[[#This Row],[Nominal Sermaye Artış Tutarı (TL)]]+Table3[[#This Row],[Nominal Ortak Satış Tutarı (TL)]]+#REF!</calculatedColumnFormula>
    </tableColumn>
    <tableColumn id="11" name="Nominal Sermaye Artış Tutarı (TL)" dataDxfId="10" totalsRowDxfId="9"/>
    <tableColumn id="12" name="Nominal Ortak Satış Tutarı (TL)" dataDxfId="8" totalsRowDxfId="7"/>
    <tableColumn id="16" name="Halka Arz Fiyatı (TL)" totalsRowDxfId="6"/>
    <tableColumn id="15" name="Talep Edilen Pay (Nominal TL)" totalsRowDxfId="5"/>
    <tableColumn id="14" name="Talebin Halka Arza Oranı" dataDxfId="4" totalsRowDxfId="3">
      <calculatedColumnFormula>Table3[[#This Row],[Talep Edilen Pay (Nominal TL)]]/Table3[[#This Row],[Halka Arz Edilen Pay (Nominal TL)]]</calculatedColumnFormula>
    </tableColumn>
    <tableColumn id="5" name="Dağıtımı Yapılan Yatırımcı Sayısı" totalsRowDxfId="2"/>
    <tableColumn id="13" name="Satış Yöntemi**" dataDxfId="1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zoomScaleNormal="10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B52" sqref="B52"/>
    </sheetView>
  </sheetViews>
  <sheetFormatPr defaultRowHeight="15" x14ac:dyDescent="0.25"/>
  <cols>
    <col min="1" max="1" width="6.42578125" customWidth="1"/>
    <col min="2" max="2" width="79.85546875" bestFit="1" customWidth="1"/>
    <col min="3" max="3" width="14.7109375" customWidth="1"/>
    <col min="4" max="4" width="23.42578125" bestFit="1" customWidth="1"/>
    <col min="5" max="5" width="14.7109375" customWidth="1"/>
    <col min="6" max="6" width="66.5703125" customWidth="1"/>
    <col min="7" max="7" width="18.140625" customWidth="1"/>
    <col min="8" max="8" width="17.28515625" customWidth="1"/>
    <col min="9" max="12" width="17.7109375" customWidth="1"/>
    <col min="13" max="13" width="18" bestFit="1" customWidth="1"/>
    <col min="14" max="14" width="17.85546875" customWidth="1"/>
    <col min="15" max="15" width="14.5703125" customWidth="1"/>
    <col min="16" max="16" width="17.42578125" bestFit="1" customWidth="1"/>
    <col min="17" max="18" width="14.5703125" customWidth="1"/>
    <col min="19" max="19" width="32.5703125" bestFit="1" customWidth="1"/>
  </cols>
  <sheetData>
    <row r="1" spans="1:19" s="21" customFormat="1" ht="23.25" x14ac:dyDescent="0.25">
      <c r="A1" s="36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9" ht="45" x14ac:dyDescent="0.25">
      <c r="A2" s="20" t="s">
        <v>9</v>
      </c>
      <c r="B2" s="20" t="s">
        <v>8</v>
      </c>
      <c r="C2" s="18" t="s">
        <v>7</v>
      </c>
      <c r="D2" s="18" t="s">
        <v>10</v>
      </c>
      <c r="E2" s="18" t="s">
        <v>5</v>
      </c>
      <c r="F2" s="18" t="s">
        <v>6</v>
      </c>
      <c r="G2" s="18" t="s">
        <v>4</v>
      </c>
      <c r="H2" s="19" t="s">
        <v>3</v>
      </c>
      <c r="I2" s="19" t="s">
        <v>12</v>
      </c>
      <c r="J2" s="19" t="s">
        <v>22</v>
      </c>
      <c r="K2" s="19" t="s">
        <v>13</v>
      </c>
      <c r="L2" s="19" t="s">
        <v>20</v>
      </c>
      <c r="M2" s="18" t="s">
        <v>2</v>
      </c>
      <c r="N2" s="18" t="s">
        <v>1</v>
      </c>
      <c r="O2" s="18" t="s">
        <v>18</v>
      </c>
      <c r="P2" s="18" t="s">
        <v>14</v>
      </c>
      <c r="Q2" s="18" t="s">
        <v>15</v>
      </c>
      <c r="R2" s="18" t="s">
        <v>16</v>
      </c>
      <c r="S2" s="18" t="s">
        <v>17</v>
      </c>
    </row>
    <row r="3" spans="1:19" s="1" customFormat="1" ht="15" customHeight="1" x14ac:dyDescent="0.25">
      <c r="A3" s="13">
        <v>1</v>
      </c>
      <c r="B3" s="15" t="s">
        <v>56</v>
      </c>
      <c r="C3" s="17">
        <v>44917</v>
      </c>
      <c r="D3" s="17" t="s">
        <v>57</v>
      </c>
      <c r="E3" s="17">
        <v>44930</v>
      </c>
      <c r="F3" s="17" t="s">
        <v>58</v>
      </c>
      <c r="G3" s="17" t="s">
        <v>19</v>
      </c>
      <c r="H3" s="23">
        <v>392000000</v>
      </c>
      <c r="I3" s="33">
        <v>20966603.19633726</v>
      </c>
      <c r="J3" s="23">
        <f>K3-M3</f>
        <v>50000000</v>
      </c>
      <c r="K3" s="23">
        <v>58000000</v>
      </c>
      <c r="L3" s="23">
        <v>12250000</v>
      </c>
      <c r="M3" s="30">
        <v>8000000</v>
      </c>
      <c r="N3" s="30">
        <v>4250000</v>
      </c>
      <c r="O3" s="16">
        <v>32</v>
      </c>
      <c r="P3" s="30">
        <v>250972000</v>
      </c>
      <c r="Q3" s="16">
        <v>20.487510204081634</v>
      </c>
      <c r="R3" s="23">
        <v>838560</v>
      </c>
      <c r="S3" s="32" t="s">
        <v>23</v>
      </c>
    </row>
    <row r="4" spans="1:19" s="1" customFormat="1" ht="15" customHeight="1" x14ac:dyDescent="0.25">
      <c r="A4" s="13">
        <v>2</v>
      </c>
      <c r="B4" s="15" t="s">
        <v>59</v>
      </c>
      <c r="C4" s="17">
        <v>44910</v>
      </c>
      <c r="D4" s="17" t="s">
        <v>57</v>
      </c>
      <c r="E4" s="17">
        <v>44930</v>
      </c>
      <c r="F4" s="17" t="s">
        <v>27</v>
      </c>
      <c r="G4" s="17" t="s">
        <v>60</v>
      </c>
      <c r="H4" s="23">
        <v>104125000</v>
      </c>
      <c r="I4" s="33">
        <v>5569194.3989816327</v>
      </c>
      <c r="J4" s="23">
        <f>K4-M4</f>
        <v>19900000</v>
      </c>
      <c r="K4" s="33">
        <v>23850000</v>
      </c>
      <c r="L4" s="34">
        <v>5950000</v>
      </c>
      <c r="M4" s="34">
        <v>3950000</v>
      </c>
      <c r="N4" s="34">
        <v>2000000</v>
      </c>
      <c r="O4" s="16">
        <v>17.5</v>
      </c>
      <c r="P4" s="30">
        <v>105567000</v>
      </c>
      <c r="Q4" s="16">
        <v>17.74235294117647</v>
      </c>
      <c r="R4" s="23">
        <v>36044</v>
      </c>
      <c r="S4" s="32" t="s">
        <v>23</v>
      </c>
    </row>
    <row r="5" spans="1:19" s="1" customFormat="1" ht="15" customHeight="1" x14ac:dyDescent="0.25">
      <c r="A5" s="13">
        <v>3</v>
      </c>
      <c r="B5" s="15" t="s">
        <v>61</v>
      </c>
      <c r="C5" s="17">
        <v>44917</v>
      </c>
      <c r="D5" s="17" t="s">
        <v>62</v>
      </c>
      <c r="E5" s="14">
        <v>44938</v>
      </c>
      <c r="F5" s="17" t="s">
        <v>63</v>
      </c>
      <c r="G5" s="17" t="s">
        <v>19</v>
      </c>
      <c r="H5" s="23">
        <v>581250000</v>
      </c>
      <c r="I5" s="33">
        <v>31000330.670193814</v>
      </c>
      <c r="J5" s="23">
        <f t="shared" ref="J5:J7" si="0">K5-M5</f>
        <v>309000000</v>
      </c>
      <c r="K5" s="23">
        <v>386500000</v>
      </c>
      <c r="L5" s="23">
        <v>77500000</v>
      </c>
      <c r="M5" s="30">
        <v>77500000</v>
      </c>
      <c r="N5" s="30">
        <v>0</v>
      </c>
      <c r="O5" s="16">
        <v>7.5</v>
      </c>
      <c r="P5" s="23">
        <v>9163695000</v>
      </c>
      <c r="Q5" s="16">
        <v>118.24</v>
      </c>
      <c r="R5" s="23">
        <v>787164</v>
      </c>
      <c r="S5" s="31" t="s">
        <v>23</v>
      </c>
    </row>
    <row r="6" spans="1:19" s="1" customFormat="1" ht="15" customHeight="1" x14ac:dyDescent="0.25">
      <c r="A6" s="13">
        <v>4</v>
      </c>
      <c r="B6" s="15" t="s">
        <v>64</v>
      </c>
      <c r="C6" s="17">
        <v>44924</v>
      </c>
      <c r="D6" s="17" t="s">
        <v>65</v>
      </c>
      <c r="E6" s="14">
        <v>44937</v>
      </c>
      <c r="F6" s="14" t="s">
        <v>66</v>
      </c>
      <c r="G6" s="14" t="s">
        <v>60</v>
      </c>
      <c r="H6" s="23">
        <v>285880000</v>
      </c>
      <c r="I6" s="33">
        <v>15247095.969023669</v>
      </c>
      <c r="J6" s="23">
        <f t="shared" si="0"/>
        <v>100000000</v>
      </c>
      <c r="K6" s="23">
        <v>128000000</v>
      </c>
      <c r="L6" s="23">
        <v>28000000</v>
      </c>
      <c r="M6" s="34">
        <v>28000000</v>
      </c>
      <c r="N6" s="34">
        <v>0</v>
      </c>
      <c r="O6" s="16">
        <v>10.210000000000001</v>
      </c>
      <c r="P6" s="23">
        <v>62059000</v>
      </c>
      <c r="Q6" s="16">
        <v>2.2163928571428571</v>
      </c>
      <c r="R6" s="23">
        <v>743501</v>
      </c>
      <c r="S6" s="32" t="s">
        <v>23</v>
      </c>
    </row>
    <row r="7" spans="1:19" s="1" customFormat="1" ht="15" customHeight="1" x14ac:dyDescent="0.25">
      <c r="A7" s="13">
        <v>5</v>
      </c>
      <c r="B7" s="15" t="s">
        <v>67</v>
      </c>
      <c r="C7" s="17">
        <v>44917</v>
      </c>
      <c r="D7" s="17" t="s">
        <v>68</v>
      </c>
      <c r="E7" s="14">
        <v>44944</v>
      </c>
      <c r="F7" s="14" t="s">
        <v>69</v>
      </c>
      <c r="G7" s="14" t="s">
        <v>19</v>
      </c>
      <c r="H7" s="23">
        <v>2625000000</v>
      </c>
      <c r="I7" s="33">
        <v>139864983.66909808</v>
      </c>
      <c r="J7" s="23">
        <f t="shared" si="0"/>
        <v>850000000</v>
      </c>
      <c r="K7" s="23">
        <v>998000000</v>
      </c>
      <c r="L7" s="23">
        <v>210000000</v>
      </c>
      <c r="M7" s="34">
        <v>148000000</v>
      </c>
      <c r="N7" s="34">
        <v>62000000</v>
      </c>
      <c r="O7" s="16">
        <v>12.5</v>
      </c>
      <c r="P7" s="23">
        <v>7242343000</v>
      </c>
      <c r="Q7" s="16">
        <v>34.487347619047618</v>
      </c>
      <c r="R7" s="23">
        <v>690734</v>
      </c>
      <c r="S7" s="32" t="s">
        <v>23</v>
      </c>
    </row>
    <row r="8" spans="1:19" s="1" customFormat="1" ht="15" customHeight="1" x14ac:dyDescent="0.25">
      <c r="A8" s="13">
        <v>6</v>
      </c>
      <c r="B8" s="15" t="s">
        <v>70</v>
      </c>
      <c r="C8" s="17">
        <v>44924</v>
      </c>
      <c r="D8" s="17" t="s">
        <v>71</v>
      </c>
      <c r="E8" s="14">
        <v>44952</v>
      </c>
      <c r="F8" s="14" t="s">
        <v>27</v>
      </c>
      <c r="G8" s="14" t="s">
        <v>19</v>
      </c>
      <c r="H8" s="23">
        <v>323000000</v>
      </c>
      <c r="I8" s="33">
        <v>17201804.325481571</v>
      </c>
      <c r="J8" s="23">
        <f>K8-M8</f>
        <v>25000000</v>
      </c>
      <c r="K8" s="23">
        <v>25000000</v>
      </c>
      <c r="L8" s="23">
        <v>8500000</v>
      </c>
      <c r="M8" s="34">
        <v>0</v>
      </c>
      <c r="N8" s="34">
        <v>8500000</v>
      </c>
      <c r="O8" s="16">
        <v>38</v>
      </c>
      <c r="P8" s="23">
        <v>267441000</v>
      </c>
      <c r="Q8" s="16">
        <v>31.463647058823529</v>
      </c>
      <c r="R8" s="23">
        <v>678726</v>
      </c>
      <c r="S8" s="32" t="s">
        <v>23</v>
      </c>
    </row>
    <row r="9" spans="1:19" s="1" customFormat="1" ht="15" customHeight="1" x14ac:dyDescent="0.25">
      <c r="A9" s="13">
        <v>7</v>
      </c>
      <c r="B9" s="15" t="s">
        <v>72</v>
      </c>
      <c r="C9" s="14">
        <v>44945</v>
      </c>
      <c r="D9" s="17" t="s">
        <v>73</v>
      </c>
      <c r="E9" s="14">
        <v>44963</v>
      </c>
      <c r="F9" s="14" t="s">
        <v>74</v>
      </c>
      <c r="G9" s="14" t="s">
        <v>19</v>
      </c>
      <c r="H9" s="23">
        <v>356500000</v>
      </c>
      <c r="I9" s="33">
        <v>18975281.568694245</v>
      </c>
      <c r="J9" s="23">
        <f t="shared" ref="J9:J15" si="1">K9-M9</f>
        <v>30000000</v>
      </c>
      <c r="K9" s="23">
        <v>37600000</v>
      </c>
      <c r="L9" s="23">
        <v>11500000</v>
      </c>
      <c r="M9" s="34">
        <v>7600000</v>
      </c>
      <c r="N9" s="34">
        <v>3900000</v>
      </c>
      <c r="O9" s="16">
        <v>31</v>
      </c>
      <c r="P9" s="23">
        <v>1500861000</v>
      </c>
      <c r="Q9" s="16">
        <v>130.50965217391305</v>
      </c>
      <c r="R9" s="23">
        <v>373600</v>
      </c>
      <c r="S9" s="32" t="s">
        <v>23</v>
      </c>
    </row>
    <row r="10" spans="1:19" s="1" customFormat="1" ht="15" customHeight="1" x14ac:dyDescent="0.25">
      <c r="A10" s="13">
        <v>8</v>
      </c>
      <c r="B10" s="15" t="s">
        <v>75</v>
      </c>
      <c r="C10" s="14">
        <v>44959</v>
      </c>
      <c r="D10" s="17" t="s">
        <v>76</v>
      </c>
      <c r="E10" s="14">
        <v>44994</v>
      </c>
      <c r="F10" s="14" t="s">
        <v>77</v>
      </c>
      <c r="G10" s="14" t="s">
        <v>19</v>
      </c>
      <c r="H10" s="23">
        <v>871750000</v>
      </c>
      <c r="I10" s="33">
        <v>46225349.573406443</v>
      </c>
      <c r="J10" s="23">
        <f t="shared" si="1"/>
        <v>285000000</v>
      </c>
      <c r="K10" s="23">
        <v>350000000</v>
      </c>
      <c r="L10" s="23">
        <v>79250000</v>
      </c>
      <c r="M10" s="33">
        <v>65000000</v>
      </c>
      <c r="N10" s="34">
        <v>14250000</v>
      </c>
      <c r="O10" s="16">
        <v>11</v>
      </c>
      <c r="P10" s="23">
        <v>628324000</v>
      </c>
      <c r="Q10" s="16">
        <v>7.9283785488958989</v>
      </c>
      <c r="R10" s="23">
        <v>862805</v>
      </c>
      <c r="S10" s="32" t="s">
        <v>23</v>
      </c>
    </row>
    <row r="11" spans="1:19" s="1" customFormat="1" ht="15" customHeight="1" x14ac:dyDescent="0.25">
      <c r="A11" s="13">
        <v>9</v>
      </c>
      <c r="B11" s="15" t="s">
        <v>78</v>
      </c>
      <c r="C11" s="14">
        <v>44987</v>
      </c>
      <c r="D11" s="17" t="s">
        <v>79</v>
      </c>
      <c r="E11" s="14">
        <v>45001</v>
      </c>
      <c r="F11" s="14" t="s">
        <v>43</v>
      </c>
      <c r="G11" s="14" t="s">
        <v>19</v>
      </c>
      <c r="H11" s="23">
        <v>3335632889.4000001</v>
      </c>
      <c r="I11" s="33">
        <v>176139960.57536939</v>
      </c>
      <c r="J11" s="23">
        <f t="shared" si="1"/>
        <v>1016032000</v>
      </c>
      <c r="K11" s="23">
        <v>1016032000</v>
      </c>
      <c r="L11" s="23">
        <v>340370703</v>
      </c>
      <c r="M11" s="34">
        <v>0</v>
      </c>
      <c r="N11" s="34">
        <v>340370703</v>
      </c>
      <c r="O11" s="16">
        <v>9.8000000000000007</v>
      </c>
      <c r="P11" s="23">
        <v>7776922000</v>
      </c>
      <c r="Q11" s="16">
        <v>22.848387059916845</v>
      </c>
      <c r="R11" s="23">
        <v>419123</v>
      </c>
      <c r="S11" s="32" t="s">
        <v>23</v>
      </c>
    </row>
    <row r="12" spans="1:19" s="1" customFormat="1" ht="15" customHeight="1" x14ac:dyDescent="0.25">
      <c r="A12" s="13">
        <v>10</v>
      </c>
      <c r="B12" s="15" t="s">
        <v>80</v>
      </c>
      <c r="C12" s="14">
        <v>44994</v>
      </c>
      <c r="D12" s="17" t="s">
        <v>81</v>
      </c>
      <c r="E12" s="14">
        <v>45009</v>
      </c>
      <c r="F12" s="14" t="s">
        <v>77</v>
      </c>
      <c r="G12" s="14" t="s">
        <v>19</v>
      </c>
      <c r="H12" s="23">
        <v>980078347.79999995</v>
      </c>
      <c r="I12" s="33">
        <v>51538313.979964763</v>
      </c>
      <c r="J12" s="23">
        <f t="shared" si="1"/>
        <v>49957498</v>
      </c>
      <c r="K12" s="23">
        <v>70000000</v>
      </c>
      <c r="L12" s="23">
        <v>20042502</v>
      </c>
      <c r="M12" s="34">
        <v>20042502</v>
      </c>
      <c r="N12" s="34">
        <v>0</v>
      </c>
      <c r="O12" s="16">
        <v>48.9</v>
      </c>
      <c r="P12" s="23">
        <v>301147000</v>
      </c>
      <c r="Q12" s="16">
        <v>15.025046150775832</v>
      </c>
      <c r="R12" s="23">
        <v>1210861</v>
      </c>
      <c r="S12" s="32" t="s">
        <v>23</v>
      </c>
    </row>
    <row r="13" spans="1:19" s="1" customFormat="1" ht="15" customHeight="1" x14ac:dyDescent="0.25">
      <c r="A13" s="13">
        <v>11</v>
      </c>
      <c r="B13" s="15" t="s">
        <v>82</v>
      </c>
      <c r="C13" s="14">
        <v>45015</v>
      </c>
      <c r="D13" s="17" t="s">
        <v>83</v>
      </c>
      <c r="E13" s="14">
        <v>45029</v>
      </c>
      <c r="F13" s="35" t="s">
        <v>43</v>
      </c>
      <c r="G13" s="14" t="s">
        <v>19</v>
      </c>
      <c r="H13" s="23">
        <v>1087555000</v>
      </c>
      <c r="I13" s="33">
        <v>56545712.621924587</v>
      </c>
      <c r="J13" s="23">
        <f t="shared" si="1"/>
        <v>193000000</v>
      </c>
      <c r="K13" s="23">
        <v>216160000</v>
      </c>
      <c r="L13" s="23">
        <v>44390000</v>
      </c>
      <c r="M13" s="34">
        <v>23160000</v>
      </c>
      <c r="N13" s="34">
        <v>21230000</v>
      </c>
      <c r="O13" s="16">
        <v>24.5</v>
      </c>
      <c r="P13" s="23">
        <v>225411000</v>
      </c>
      <c r="Q13" s="16">
        <v>5.0779680108132466</v>
      </c>
      <c r="R13" s="23">
        <v>1729153</v>
      </c>
      <c r="S13" s="32" t="s">
        <v>23</v>
      </c>
    </row>
    <row r="14" spans="1:19" s="1" customFormat="1" ht="15" customHeight="1" x14ac:dyDescent="0.25">
      <c r="A14" s="13">
        <v>12</v>
      </c>
      <c r="B14" s="15" t="s">
        <v>84</v>
      </c>
      <c r="C14" s="14">
        <v>45015</v>
      </c>
      <c r="D14" s="17" t="s">
        <v>85</v>
      </c>
      <c r="E14" s="14">
        <v>45029</v>
      </c>
      <c r="F14" s="35" t="s">
        <v>74</v>
      </c>
      <c r="G14" s="14" t="s">
        <v>19</v>
      </c>
      <c r="H14" s="23">
        <v>882000000</v>
      </c>
      <c r="I14" s="33">
        <v>45858203.523074687</v>
      </c>
      <c r="J14" s="23">
        <f t="shared" si="1"/>
        <v>35000000</v>
      </c>
      <c r="K14" s="23">
        <v>42000000</v>
      </c>
      <c r="L14" s="23">
        <v>8400000</v>
      </c>
      <c r="M14" s="34">
        <v>7000000</v>
      </c>
      <c r="N14" s="34">
        <v>1400000</v>
      </c>
      <c r="O14" s="16">
        <v>105</v>
      </c>
      <c r="P14" s="23">
        <v>42798000</v>
      </c>
      <c r="Q14" s="16">
        <v>5.0949999999999998</v>
      </c>
      <c r="R14" s="23">
        <v>1452252</v>
      </c>
      <c r="S14" s="32" t="s">
        <v>23</v>
      </c>
    </row>
    <row r="15" spans="1:19" s="1" customFormat="1" ht="15" customHeight="1" x14ac:dyDescent="0.25">
      <c r="A15" s="13">
        <v>13</v>
      </c>
      <c r="B15" s="15" t="s">
        <v>86</v>
      </c>
      <c r="C15" s="14">
        <v>45022</v>
      </c>
      <c r="D15" s="17" t="s">
        <v>87</v>
      </c>
      <c r="E15" s="14">
        <v>45036</v>
      </c>
      <c r="F15" s="14" t="s">
        <v>88</v>
      </c>
      <c r="G15" s="14" t="s">
        <v>19</v>
      </c>
      <c r="H15" s="23">
        <v>2436000000</v>
      </c>
      <c r="I15" s="33">
        <v>125980668.48362923</v>
      </c>
      <c r="J15" s="23">
        <f t="shared" si="1"/>
        <v>175000000</v>
      </c>
      <c r="K15" s="23">
        <v>220000000</v>
      </c>
      <c r="L15" s="23">
        <v>60000000</v>
      </c>
      <c r="M15" s="34">
        <v>45000000</v>
      </c>
      <c r="N15" s="34">
        <v>15000000</v>
      </c>
      <c r="O15" s="16">
        <v>40.6</v>
      </c>
      <c r="P15" s="23">
        <v>241716000</v>
      </c>
      <c r="Q15" s="16">
        <v>4.0286</v>
      </c>
      <c r="R15" s="23">
        <v>2118379</v>
      </c>
      <c r="S15" s="32" t="s">
        <v>23</v>
      </c>
    </row>
    <row r="16" spans="1:19" s="1" customFormat="1" ht="15" customHeight="1" x14ac:dyDescent="0.25">
      <c r="A16" s="13">
        <v>14</v>
      </c>
      <c r="B16" s="15" t="s">
        <v>89</v>
      </c>
      <c r="C16" s="26">
        <v>45029</v>
      </c>
      <c r="D16" s="17" t="s">
        <v>90</v>
      </c>
      <c r="E16" s="14">
        <v>45042</v>
      </c>
      <c r="F16" s="26" t="s">
        <v>91</v>
      </c>
      <c r="G16" s="26" t="s">
        <v>19</v>
      </c>
      <c r="H16" s="23">
        <v>440000000.00000006</v>
      </c>
      <c r="I16" s="33">
        <v>22703115.486620642</v>
      </c>
      <c r="J16" s="29">
        <v>125000000</v>
      </c>
      <c r="K16" s="23">
        <v>150000000</v>
      </c>
      <c r="L16" s="23">
        <v>25000000</v>
      </c>
      <c r="M16" s="29">
        <v>25000000</v>
      </c>
      <c r="N16" s="29">
        <v>0</v>
      </c>
      <c r="O16" s="16">
        <v>17.600000000000001</v>
      </c>
      <c r="P16" s="23">
        <v>161537000</v>
      </c>
      <c r="Q16" s="16">
        <v>6.4614799999999999</v>
      </c>
      <c r="R16" s="23">
        <v>1248019</v>
      </c>
      <c r="S16" s="27" t="s">
        <v>24</v>
      </c>
    </row>
    <row r="17" spans="1:19" s="1" customFormat="1" ht="15" customHeight="1" x14ac:dyDescent="0.25">
      <c r="A17" s="13">
        <v>15</v>
      </c>
      <c r="B17" s="15" t="s">
        <v>92</v>
      </c>
      <c r="C17" s="26">
        <v>45029</v>
      </c>
      <c r="D17" s="17" t="s">
        <v>93</v>
      </c>
      <c r="E17" s="14">
        <v>45051</v>
      </c>
      <c r="F17" s="26" t="s">
        <v>94</v>
      </c>
      <c r="G17" s="26" t="s">
        <v>19</v>
      </c>
      <c r="H17" s="23">
        <v>2036250000</v>
      </c>
      <c r="I17" s="33">
        <v>167577938.14326936</v>
      </c>
      <c r="J17" s="29">
        <v>123750000</v>
      </c>
      <c r="K17" s="23">
        <v>142500000</v>
      </c>
      <c r="L17" s="23">
        <v>30000000</v>
      </c>
      <c r="M17" s="29">
        <v>18750000</v>
      </c>
      <c r="N17" s="29">
        <v>11250000</v>
      </c>
      <c r="O17" s="16">
        <v>108.6</v>
      </c>
      <c r="P17" s="23">
        <v>124365000</v>
      </c>
      <c r="Q17" s="16">
        <v>4.1455000000000002</v>
      </c>
      <c r="R17" s="23">
        <v>2243594</v>
      </c>
      <c r="S17" s="27" t="s">
        <v>23</v>
      </c>
    </row>
    <row r="18" spans="1:19" s="1" customFormat="1" ht="15" customHeight="1" x14ac:dyDescent="0.25">
      <c r="A18" s="13">
        <v>16</v>
      </c>
      <c r="B18" s="15" t="s">
        <v>95</v>
      </c>
      <c r="C18" s="26">
        <v>45043</v>
      </c>
      <c r="D18" s="17" t="s">
        <v>96</v>
      </c>
      <c r="E18" s="14">
        <v>45056</v>
      </c>
      <c r="F18" s="26" t="s">
        <v>97</v>
      </c>
      <c r="G18" s="26" t="s">
        <v>19</v>
      </c>
      <c r="H18" s="23">
        <v>157500000</v>
      </c>
      <c r="I18" s="33">
        <v>42747770.183879599</v>
      </c>
      <c r="J18" s="29">
        <v>107000000</v>
      </c>
      <c r="K18" s="23">
        <v>114000000</v>
      </c>
      <c r="L18" s="23">
        <v>37000000</v>
      </c>
      <c r="M18" s="29">
        <v>7000000</v>
      </c>
      <c r="N18" s="29">
        <v>30000000</v>
      </c>
      <c r="O18" s="16">
        <v>22.5</v>
      </c>
      <c r="P18" s="23">
        <v>190709000</v>
      </c>
      <c r="Q18" s="16">
        <v>5.1542972972972976</v>
      </c>
      <c r="R18" s="23">
        <v>1800881</v>
      </c>
      <c r="S18" s="27" t="s">
        <v>23</v>
      </c>
    </row>
    <row r="19" spans="1:19" s="1" customFormat="1" ht="15" customHeight="1" x14ac:dyDescent="0.25">
      <c r="A19" s="13">
        <v>17</v>
      </c>
      <c r="B19" s="15" t="s">
        <v>98</v>
      </c>
      <c r="C19" s="26">
        <v>45051</v>
      </c>
      <c r="D19" s="17" t="s">
        <v>99</v>
      </c>
      <c r="E19" s="14">
        <v>45064</v>
      </c>
      <c r="F19" s="26" t="s">
        <v>100</v>
      </c>
      <c r="G19" s="26" t="s">
        <v>19</v>
      </c>
      <c r="H19" s="23">
        <v>1724620000</v>
      </c>
      <c r="I19" s="33">
        <v>88148674.411829337</v>
      </c>
      <c r="J19" s="29">
        <v>706000000</v>
      </c>
      <c r="K19" s="23">
        <v>812000000</v>
      </c>
      <c r="L19" s="23">
        <v>106000000</v>
      </c>
      <c r="M19" s="29">
        <v>106000000</v>
      </c>
      <c r="N19" s="29">
        <v>0</v>
      </c>
      <c r="O19" s="16">
        <v>16.27</v>
      </c>
      <c r="P19" s="23">
        <v>121382000</v>
      </c>
      <c r="Q19" s="16">
        <v>1.1451132075471697</v>
      </c>
      <c r="R19" s="23">
        <v>1619459</v>
      </c>
      <c r="S19" s="27" t="s">
        <v>23</v>
      </c>
    </row>
    <row r="20" spans="1:19" s="1" customFormat="1" ht="15" customHeight="1" x14ac:dyDescent="0.25">
      <c r="A20" s="13">
        <v>18</v>
      </c>
      <c r="B20" s="15" t="s">
        <v>101</v>
      </c>
      <c r="C20" s="26">
        <v>45051</v>
      </c>
      <c r="D20" s="17" t="s">
        <v>102</v>
      </c>
      <c r="E20" s="14">
        <v>45064</v>
      </c>
      <c r="F20" s="26" t="s">
        <v>103</v>
      </c>
      <c r="G20" s="26" t="s">
        <v>19</v>
      </c>
      <c r="H20" s="23">
        <v>3095557893.1999998</v>
      </c>
      <c r="I20" s="33">
        <v>158219970.10973731</v>
      </c>
      <c r="J20" s="29">
        <v>361000000</v>
      </c>
      <c r="K20" s="23">
        <v>433326119</v>
      </c>
      <c r="L20" s="23">
        <v>72326119</v>
      </c>
      <c r="M20" s="29">
        <v>72326119</v>
      </c>
      <c r="N20" s="29">
        <v>0</v>
      </c>
      <c r="O20" s="16">
        <v>42.8</v>
      </c>
      <c r="P20" s="23">
        <v>72845000</v>
      </c>
      <c r="Q20" s="16">
        <v>1.0071758427121644</v>
      </c>
      <c r="R20" s="23">
        <v>1446140</v>
      </c>
      <c r="S20" s="27" t="s">
        <v>23</v>
      </c>
    </row>
    <row r="21" spans="1:19" s="1" customFormat="1" ht="15" customHeight="1" x14ac:dyDescent="0.25">
      <c r="A21" s="13">
        <v>19</v>
      </c>
      <c r="B21" s="15" t="s">
        <v>104</v>
      </c>
      <c r="C21" s="26">
        <v>45078</v>
      </c>
      <c r="D21" s="17" t="s">
        <v>105</v>
      </c>
      <c r="E21" s="14">
        <v>45089</v>
      </c>
      <c r="F21" s="26" t="s">
        <v>106</v>
      </c>
      <c r="G21" s="26" t="s">
        <v>19</v>
      </c>
      <c r="H21" s="23">
        <v>402900000</v>
      </c>
      <c r="I21" s="33">
        <v>35002823.508970067</v>
      </c>
      <c r="J21" s="29">
        <v>180000000</v>
      </c>
      <c r="K21" s="23">
        <v>210000000</v>
      </c>
      <c r="L21" s="23">
        <v>60000000</v>
      </c>
      <c r="M21" s="29">
        <v>30000000</v>
      </c>
      <c r="N21" s="29">
        <v>30000000</v>
      </c>
      <c r="O21" s="16">
        <v>13.43</v>
      </c>
      <c r="P21" s="23">
        <v>79436000</v>
      </c>
      <c r="Q21" s="16">
        <v>1.3239333333333334</v>
      </c>
      <c r="R21" s="23">
        <v>474210</v>
      </c>
      <c r="S21" s="27" t="s">
        <v>24</v>
      </c>
    </row>
    <row r="22" spans="1:19" s="1" customFormat="1" ht="15" customHeight="1" x14ac:dyDescent="0.25">
      <c r="A22" s="13">
        <v>20</v>
      </c>
      <c r="B22" s="15" t="s">
        <v>107</v>
      </c>
      <c r="C22" s="26">
        <v>45078</v>
      </c>
      <c r="D22" s="17" t="s">
        <v>108</v>
      </c>
      <c r="E22" s="14">
        <v>45091</v>
      </c>
      <c r="F22" s="26" t="s">
        <v>109</v>
      </c>
      <c r="G22" s="26" t="s">
        <v>19</v>
      </c>
      <c r="H22" s="23">
        <v>450000000</v>
      </c>
      <c r="I22" s="33">
        <v>36922809.608618215</v>
      </c>
      <c r="J22" s="29">
        <v>168000000</v>
      </c>
      <c r="K22" s="23">
        <v>186000000</v>
      </c>
      <c r="L22" s="23">
        <v>34000000</v>
      </c>
      <c r="M22" s="29">
        <v>18000000</v>
      </c>
      <c r="N22" s="29">
        <v>16000000</v>
      </c>
      <c r="O22" s="16">
        <v>25</v>
      </c>
      <c r="P22" s="23">
        <v>86464000</v>
      </c>
      <c r="Q22" s="16">
        <v>2.5430588235294116</v>
      </c>
      <c r="R22" s="23">
        <v>903205</v>
      </c>
      <c r="S22" s="27" t="s">
        <v>23</v>
      </c>
    </row>
    <row r="23" spans="1:19" s="1" customFormat="1" ht="15" customHeight="1" x14ac:dyDescent="0.25">
      <c r="A23" s="13">
        <v>21</v>
      </c>
      <c r="B23" s="15" t="s">
        <v>110</v>
      </c>
      <c r="C23" s="26">
        <v>45078</v>
      </c>
      <c r="D23" s="17" t="s">
        <v>111</v>
      </c>
      <c r="E23" s="14">
        <v>45091</v>
      </c>
      <c r="F23" s="26" t="s">
        <v>106</v>
      </c>
      <c r="G23" s="26" t="s">
        <v>60</v>
      </c>
      <c r="H23" s="23">
        <v>266639999.99999997</v>
      </c>
      <c r="I23" s="33">
        <v>11379601.731010523</v>
      </c>
      <c r="J23" s="29">
        <v>67000000</v>
      </c>
      <c r="K23" s="23">
        <v>89000000</v>
      </c>
      <c r="L23" s="23">
        <v>22000000</v>
      </c>
      <c r="M23" s="29">
        <v>22000000</v>
      </c>
      <c r="N23" s="29">
        <v>0</v>
      </c>
      <c r="O23" s="16">
        <v>12.12</v>
      </c>
      <c r="P23" s="23">
        <v>68612000</v>
      </c>
      <c r="Q23" s="16">
        <v>3.1187272727272726</v>
      </c>
      <c r="R23" s="23">
        <v>660379</v>
      </c>
      <c r="S23" s="27" t="s">
        <v>24</v>
      </c>
    </row>
    <row r="24" spans="1:19" s="1" customFormat="1" ht="15" customHeight="1" x14ac:dyDescent="0.25">
      <c r="A24" s="13">
        <v>22</v>
      </c>
      <c r="B24" s="15" t="s">
        <v>25</v>
      </c>
      <c r="C24" s="26">
        <v>45078</v>
      </c>
      <c r="D24" s="17" t="s">
        <v>112</v>
      </c>
      <c r="E24" s="14">
        <v>45092</v>
      </c>
      <c r="F24" s="26" t="s">
        <v>113</v>
      </c>
      <c r="G24" s="26" t="s">
        <v>19</v>
      </c>
      <c r="H24" s="23">
        <v>875000000</v>
      </c>
      <c r="I24" s="33">
        <v>37343052.485126793</v>
      </c>
      <c r="J24" s="29">
        <v>135000000</v>
      </c>
      <c r="K24" s="23">
        <v>170000000</v>
      </c>
      <c r="L24" s="23">
        <v>35000000</v>
      </c>
      <c r="M24" s="29">
        <v>35000000</v>
      </c>
      <c r="N24" s="29">
        <v>0</v>
      </c>
      <c r="O24" s="16">
        <v>25</v>
      </c>
      <c r="P24" s="23">
        <v>85029000</v>
      </c>
      <c r="Q24" s="16">
        <v>2.4293999999999998</v>
      </c>
      <c r="R24" s="23">
        <v>753645</v>
      </c>
      <c r="S24" s="27" t="s">
        <v>23</v>
      </c>
    </row>
    <row r="25" spans="1:19" s="1" customFormat="1" ht="15" customHeight="1" x14ac:dyDescent="0.25">
      <c r="A25" s="13">
        <v>23</v>
      </c>
      <c r="B25" s="15" t="s">
        <v>114</v>
      </c>
      <c r="C25" s="26">
        <v>45120</v>
      </c>
      <c r="D25" s="17" t="s">
        <v>115</v>
      </c>
      <c r="E25" s="14">
        <v>45134</v>
      </c>
      <c r="F25" s="26" t="s">
        <v>116</v>
      </c>
      <c r="G25" s="26" t="s">
        <v>19</v>
      </c>
      <c r="H25" s="23">
        <v>2734761625</v>
      </c>
      <c r="I25" s="33">
        <v>101677986.3773084</v>
      </c>
      <c r="J25" s="29">
        <v>514779000</v>
      </c>
      <c r="K25" s="23">
        <v>624169465</v>
      </c>
      <c r="L25" s="23">
        <v>109390465</v>
      </c>
      <c r="M25" s="29">
        <v>109390465</v>
      </c>
      <c r="N25" s="29">
        <v>0</v>
      </c>
      <c r="O25" s="16">
        <v>25</v>
      </c>
      <c r="P25" s="23">
        <v>365922000</v>
      </c>
      <c r="Q25" s="16">
        <v>3.3451138129627935</v>
      </c>
      <c r="R25" s="23">
        <v>1919116</v>
      </c>
      <c r="S25" s="27" t="s">
        <v>23</v>
      </c>
    </row>
    <row r="26" spans="1:19" s="1" customFormat="1" ht="15" customHeight="1" x14ac:dyDescent="0.25">
      <c r="A26" s="13">
        <v>24</v>
      </c>
      <c r="B26" s="15" t="s">
        <v>117</v>
      </c>
      <c r="C26" s="26">
        <v>45120</v>
      </c>
      <c r="D26" s="17" t="s">
        <v>118</v>
      </c>
      <c r="E26" s="14">
        <v>45135</v>
      </c>
      <c r="F26" s="26" t="s">
        <v>119</v>
      </c>
      <c r="G26" s="26" t="s">
        <v>19</v>
      </c>
      <c r="H26" s="23">
        <v>568354000</v>
      </c>
      <c r="I26" s="33">
        <v>30396522.941817276</v>
      </c>
      <c r="J26" s="29">
        <v>318000000</v>
      </c>
      <c r="K26" s="23">
        <v>381860000</v>
      </c>
      <c r="L26" s="23">
        <v>91860000</v>
      </c>
      <c r="M26" s="29">
        <v>63860000</v>
      </c>
      <c r="N26" s="29">
        <v>28000000</v>
      </c>
      <c r="O26" s="16">
        <v>8.9</v>
      </c>
      <c r="P26" s="23">
        <v>267859000</v>
      </c>
      <c r="Q26" s="16">
        <v>2.9159481820161113</v>
      </c>
      <c r="R26" s="23">
        <v>1326874</v>
      </c>
      <c r="S26" s="27" t="s">
        <v>23</v>
      </c>
    </row>
    <row r="27" spans="1:19" s="1" customFormat="1" ht="15" customHeight="1" x14ac:dyDescent="0.25">
      <c r="A27" s="13">
        <v>25</v>
      </c>
      <c r="B27" s="15" t="s">
        <v>120</v>
      </c>
      <c r="C27" s="26">
        <v>45120</v>
      </c>
      <c r="D27" s="17" t="s">
        <v>115</v>
      </c>
      <c r="E27" s="14">
        <v>45134</v>
      </c>
      <c r="F27" s="26" t="s">
        <v>121</v>
      </c>
      <c r="G27" s="26" t="s">
        <v>19</v>
      </c>
      <c r="H27" s="23">
        <v>836136000</v>
      </c>
      <c r="I27" s="33">
        <v>41452793.146528646</v>
      </c>
      <c r="J27" s="29">
        <v>138768000</v>
      </c>
      <c r="K27" s="23">
        <v>159936000</v>
      </c>
      <c r="L27" s="23">
        <v>28224000</v>
      </c>
      <c r="M27" s="29">
        <v>21168000</v>
      </c>
      <c r="N27" s="29">
        <v>7056000</v>
      </c>
      <c r="O27" s="16">
        <v>39.5</v>
      </c>
      <c r="P27" s="23">
        <v>140320000</v>
      </c>
      <c r="Q27" s="16">
        <v>4.9716553287981862</v>
      </c>
      <c r="R27" s="23">
        <v>1665576</v>
      </c>
      <c r="S27" s="27" t="s">
        <v>23</v>
      </c>
    </row>
    <row r="28" spans="1:19" s="1" customFormat="1" ht="15" customHeight="1" x14ac:dyDescent="0.25">
      <c r="A28" s="13">
        <v>26</v>
      </c>
      <c r="B28" s="15" t="s">
        <v>122</v>
      </c>
      <c r="C28" s="14">
        <v>45127</v>
      </c>
      <c r="D28" s="17" t="s">
        <v>123</v>
      </c>
      <c r="E28" s="14">
        <v>45141</v>
      </c>
      <c r="F28" s="17" t="s">
        <v>124</v>
      </c>
      <c r="G28" s="17" t="s">
        <v>19</v>
      </c>
      <c r="H28" s="23">
        <v>1247400000</v>
      </c>
      <c r="I28" s="23">
        <v>77173210.984654456</v>
      </c>
      <c r="J28" s="23">
        <v>659000000</v>
      </c>
      <c r="K28" s="23">
        <v>758000000</v>
      </c>
      <c r="L28" s="23">
        <v>165000000</v>
      </c>
      <c r="M28" s="23">
        <v>99000000</v>
      </c>
      <c r="N28" s="23">
        <v>66000000</v>
      </c>
      <c r="O28" s="16">
        <v>12.6</v>
      </c>
      <c r="P28" s="23">
        <v>370041000</v>
      </c>
      <c r="Q28" s="16">
        <v>2.2426727272727298</v>
      </c>
      <c r="R28" s="23">
        <v>1320135</v>
      </c>
      <c r="S28" s="31" t="s">
        <v>23</v>
      </c>
    </row>
    <row r="29" spans="1:19" s="1" customFormat="1" ht="15" customHeight="1" x14ac:dyDescent="0.25">
      <c r="A29" s="13">
        <v>27</v>
      </c>
      <c r="B29" s="15" t="s">
        <v>125</v>
      </c>
      <c r="C29" s="14">
        <v>45141</v>
      </c>
      <c r="D29" s="17" t="s">
        <v>26</v>
      </c>
      <c r="E29" s="14">
        <v>45155</v>
      </c>
      <c r="F29" s="17" t="s">
        <v>126</v>
      </c>
      <c r="G29" s="17" t="s">
        <v>19</v>
      </c>
      <c r="H29" s="23">
        <v>789750000</v>
      </c>
      <c r="I29" s="23">
        <v>58487219.459451452</v>
      </c>
      <c r="J29" s="23">
        <v>280500000</v>
      </c>
      <c r="K29" s="23">
        <v>315600000</v>
      </c>
      <c r="L29" s="23">
        <v>70200000</v>
      </c>
      <c r="M29" s="23">
        <v>35100000</v>
      </c>
      <c r="N29" s="23">
        <v>35100000</v>
      </c>
      <c r="O29" s="16">
        <v>22.5</v>
      </c>
      <c r="P29" s="23">
        <v>281550000</v>
      </c>
      <c r="Q29" s="16">
        <v>4.0106837606837606</v>
      </c>
      <c r="R29" s="23">
        <v>2233460</v>
      </c>
      <c r="S29" s="31" t="s">
        <v>23</v>
      </c>
    </row>
    <row r="30" spans="1:19" s="1" customFormat="1" ht="15" customHeight="1" x14ac:dyDescent="0.25">
      <c r="A30" s="13">
        <v>28</v>
      </c>
      <c r="B30" s="15" t="s">
        <v>30</v>
      </c>
      <c r="C30" s="14">
        <v>45141</v>
      </c>
      <c r="D30" s="17" t="s">
        <v>26</v>
      </c>
      <c r="E30" s="14">
        <v>45154</v>
      </c>
      <c r="F30" s="28" t="s">
        <v>43</v>
      </c>
      <c r="G30" s="26" t="s">
        <v>19</v>
      </c>
      <c r="H30" s="23">
        <v>618800000</v>
      </c>
      <c r="I30" s="23">
        <v>22913511.491933245</v>
      </c>
      <c r="J30" s="23">
        <v>146250000</v>
      </c>
      <c r="K30" s="23">
        <f>Table3[[#This Row],[Mevcut Sermaye (TL)]]+Table3[[#This Row],[Nominal Sermaye Artış Tutarı (TL)]]</f>
        <v>162500000</v>
      </c>
      <c r="L30" s="23">
        <v>22750000</v>
      </c>
      <c r="M30" s="29">
        <v>16250000</v>
      </c>
      <c r="N30" s="29">
        <v>6500000</v>
      </c>
      <c r="O30" s="16">
        <v>27.2</v>
      </c>
      <c r="P30" s="23">
        <v>62405000</v>
      </c>
      <c r="Q30" s="16">
        <f>Table3[[#This Row],[Talep Edilen Pay (Nominal TL)]]/Table3[[#This Row],[Halka Arz Edilen Pay (Nominal TL)]]</f>
        <v>2.7430769230769232</v>
      </c>
      <c r="R30" s="23">
        <v>1425001</v>
      </c>
      <c r="S30" s="27" t="s">
        <v>24</v>
      </c>
    </row>
    <row r="31" spans="1:19" s="1" customFormat="1" ht="15" customHeight="1" x14ac:dyDescent="0.25">
      <c r="A31" s="13">
        <v>29</v>
      </c>
      <c r="B31" s="15" t="s">
        <v>31</v>
      </c>
      <c r="C31" s="14">
        <v>45141</v>
      </c>
      <c r="D31" s="17" t="s">
        <v>46</v>
      </c>
      <c r="E31" s="14">
        <v>45154</v>
      </c>
      <c r="F31" s="28" t="s">
        <v>43</v>
      </c>
      <c r="G31" s="26" t="s">
        <v>19</v>
      </c>
      <c r="H31" s="23">
        <v>2624280000</v>
      </c>
      <c r="I31" s="23">
        <v>97203475.838772044</v>
      </c>
      <c r="J31" s="23">
        <v>575000000</v>
      </c>
      <c r="K31" s="23">
        <f>Table3[[#This Row],[Mevcut Sermaye (TL)]]+Table3[[#This Row],[Nominal Sermaye Artış Tutarı (TL)]]</f>
        <v>650000000</v>
      </c>
      <c r="L31" s="23">
        <v>138120000</v>
      </c>
      <c r="M31" s="29">
        <v>75000000</v>
      </c>
      <c r="N31" s="29">
        <v>63120000</v>
      </c>
      <c r="O31" s="16">
        <v>19</v>
      </c>
      <c r="P31" s="23">
        <v>525808000</v>
      </c>
      <c r="Q31" s="16">
        <f>Table3[[#This Row],[Talep Edilen Pay (Nominal TL)]]/Table3[[#This Row],[Halka Arz Edilen Pay (Nominal TL)]]</f>
        <v>3.8068925571966408</v>
      </c>
      <c r="R31" s="23">
        <v>2648584</v>
      </c>
      <c r="S31" s="27" t="s">
        <v>23</v>
      </c>
    </row>
    <row r="32" spans="1:19" s="1" customFormat="1" ht="15" customHeight="1" x14ac:dyDescent="0.25">
      <c r="A32" s="13">
        <v>30</v>
      </c>
      <c r="B32" s="15" t="s">
        <v>32</v>
      </c>
      <c r="C32" s="14">
        <v>45147</v>
      </c>
      <c r="D32" s="17" t="s">
        <v>47</v>
      </c>
      <c r="E32" s="14">
        <v>45159</v>
      </c>
      <c r="F32" s="28" t="s">
        <v>44</v>
      </c>
      <c r="G32" s="26" t="s">
        <v>19</v>
      </c>
      <c r="H32" s="23">
        <v>378000000</v>
      </c>
      <c r="I32" s="23">
        <v>13986842.007888874</v>
      </c>
      <c r="J32" s="23">
        <v>84000000</v>
      </c>
      <c r="K32" s="23">
        <f>Table3[[#This Row],[Mevcut Sermaye (TL)]]+Table3[[#This Row],[Nominal Sermaye Artış Tutarı (TL)]]</f>
        <v>98000000</v>
      </c>
      <c r="L32" s="23">
        <v>18000000</v>
      </c>
      <c r="M32" s="29">
        <v>14000000</v>
      </c>
      <c r="N32" s="29">
        <v>4000000</v>
      </c>
      <c r="O32" s="16">
        <v>21</v>
      </c>
      <c r="P32" s="23">
        <v>58129000</v>
      </c>
      <c r="Q32" s="16">
        <f>Table3[[#This Row],[Talep Edilen Pay (Nominal TL)]]/Table3[[#This Row],[Halka Arz Edilen Pay (Nominal TL)]]</f>
        <v>3.2293888888888889</v>
      </c>
      <c r="R32" s="23">
        <v>1264215</v>
      </c>
      <c r="S32" s="27" t="s">
        <v>24</v>
      </c>
    </row>
    <row r="33" spans="1:19" s="1" customFormat="1" x14ac:dyDescent="0.25">
      <c r="A33" s="13">
        <v>31</v>
      </c>
      <c r="B33" s="15" t="s">
        <v>33</v>
      </c>
      <c r="C33" s="14">
        <v>45147</v>
      </c>
      <c r="D33" s="17" t="s">
        <v>48</v>
      </c>
      <c r="E33" s="14">
        <v>45161</v>
      </c>
      <c r="F33" s="28" t="s">
        <v>127</v>
      </c>
      <c r="G33" s="26" t="s">
        <v>19</v>
      </c>
      <c r="H33" s="23">
        <v>3461640000</v>
      </c>
      <c r="I33" s="23">
        <v>127886331.14256264</v>
      </c>
      <c r="J33" s="23">
        <v>145000000</v>
      </c>
      <c r="K33" s="23">
        <f>Table3[[#This Row],[Mevcut Sermaye (TL)]]+Table3[[#This Row],[Nominal Sermaye Artış Tutarı (TL)]]</f>
        <v>170000000</v>
      </c>
      <c r="L33" s="23">
        <v>39000000</v>
      </c>
      <c r="M33" s="29">
        <v>25000000</v>
      </c>
      <c r="N33" s="29">
        <v>14000000</v>
      </c>
      <c r="O33" s="16">
        <v>88.76</v>
      </c>
      <c r="P33" s="23">
        <v>105705000</v>
      </c>
      <c r="Q33" s="16">
        <f>Table3[[#This Row],[Talep Edilen Pay (Nominal TL)]]/Table3[[#This Row],[Halka Arz Edilen Pay (Nominal TL)]]</f>
        <v>2.7103846153846152</v>
      </c>
      <c r="R33" s="23">
        <v>2637008</v>
      </c>
      <c r="S33" s="27" t="s">
        <v>23</v>
      </c>
    </row>
    <row r="34" spans="1:19" s="1" customFormat="1" ht="15" customHeight="1" x14ac:dyDescent="0.25">
      <c r="A34" s="13">
        <v>32</v>
      </c>
      <c r="B34" s="15" t="s">
        <v>34</v>
      </c>
      <c r="C34" s="14">
        <v>45154</v>
      </c>
      <c r="D34" s="17" t="s">
        <v>49</v>
      </c>
      <c r="E34" s="14">
        <v>45167</v>
      </c>
      <c r="F34" s="28" t="s">
        <v>45</v>
      </c>
      <c r="G34" s="26" t="s">
        <v>19</v>
      </c>
      <c r="H34" s="23">
        <v>1038000000.0000001</v>
      </c>
      <c r="I34" s="23">
        <v>38198699.477803908</v>
      </c>
      <c r="J34" s="23">
        <v>200000000</v>
      </c>
      <c r="K34" s="23">
        <f>Table3[[#This Row],[Mevcut Sermaye (TL)]]+Table3[[#This Row],[Nominal Sermaye Artış Tutarı (TL)]]</f>
        <v>225000000</v>
      </c>
      <c r="L34" s="23">
        <v>50000000</v>
      </c>
      <c r="M34" s="29">
        <v>25000000</v>
      </c>
      <c r="N34" s="29">
        <v>25000000</v>
      </c>
      <c r="O34" s="16">
        <v>20.76</v>
      </c>
      <c r="P34" s="23">
        <v>280244000</v>
      </c>
      <c r="Q34" s="16">
        <f>Table3[[#This Row],[Talep Edilen Pay (Nominal TL)]]/Table3[[#This Row],[Halka Arz Edilen Pay (Nominal TL)]]</f>
        <v>5.6048799999999996</v>
      </c>
      <c r="R34" s="23">
        <v>2085695</v>
      </c>
      <c r="S34" s="27" t="s">
        <v>23</v>
      </c>
    </row>
    <row r="35" spans="1:19" s="1" customFormat="1" ht="15" customHeight="1" x14ac:dyDescent="0.25">
      <c r="A35" s="13">
        <v>33</v>
      </c>
      <c r="B35" s="15" t="s">
        <v>35</v>
      </c>
      <c r="C35" s="14">
        <v>45162</v>
      </c>
      <c r="D35" s="17" t="s">
        <v>50</v>
      </c>
      <c r="E35" s="14">
        <v>45176</v>
      </c>
      <c r="F35" s="28" t="s">
        <v>29</v>
      </c>
      <c r="G35" s="26" t="s">
        <v>19</v>
      </c>
      <c r="H35" s="23">
        <v>1860000000</v>
      </c>
      <c r="I35" s="23">
        <v>69719584.831117421</v>
      </c>
      <c r="J35" s="23">
        <v>160000000</v>
      </c>
      <c r="K35" s="23">
        <f>Table3[[#This Row],[Mevcut Sermaye (TL)]]+Table3[[#This Row],[Nominal Sermaye Artış Tutarı (TL)]]</f>
        <v>184000000</v>
      </c>
      <c r="L35" s="23">
        <v>40000000</v>
      </c>
      <c r="M35" s="29">
        <v>24000000</v>
      </c>
      <c r="N35" s="29">
        <v>16000000</v>
      </c>
      <c r="O35" s="16">
        <v>46.5</v>
      </c>
      <c r="P35" s="23">
        <v>307900000</v>
      </c>
      <c r="Q35" s="16">
        <f>Table3[[#This Row],[Talep Edilen Pay (Nominal TL)]]/Table3[[#This Row],[Halka Arz Edilen Pay (Nominal TL)]]</f>
        <v>7.6974999999999998</v>
      </c>
      <c r="R35" s="23">
        <v>3804835</v>
      </c>
      <c r="S35" s="27" t="s">
        <v>23</v>
      </c>
    </row>
    <row r="36" spans="1:19" s="1" customFormat="1" ht="15" customHeight="1" x14ac:dyDescent="0.25">
      <c r="A36" s="13">
        <v>34</v>
      </c>
      <c r="B36" s="15" t="s">
        <v>36</v>
      </c>
      <c r="C36" s="14">
        <v>45169</v>
      </c>
      <c r="D36" s="17" t="s">
        <v>51</v>
      </c>
      <c r="E36" s="14">
        <v>45181</v>
      </c>
      <c r="F36" s="28" t="s">
        <v>44</v>
      </c>
      <c r="G36" s="26" t="s">
        <v>19</v>
      </c>
      <c r="H36" s="23">
        <v>537500000</v>
      </c>
      <c r="I36" s="23">
        <v>20078371.018412333</v>
      </c>
      <c r="J36" s="23">
        <v>21000000</v>
      </c>
      <c r="K36" s="23">
        <f>Table3[[#This Row],[Mevcut Sermaye (TL)]]+Table3[[#This Row],[Nominal Sermaye Artış Tutarı (TL)]]</f>
        <v>26000000</v>
      </c>
      <c r="L36" s="23">
        <v>5000000</v>
      </c>
      <c r="M36" s="29">
        <v>5000000</v>
      </c>
      <c r="N36" s="29">
        <v>0</v>
      </c>
      <c r="O36" s="16">
        <v>107.5</v>
      </c>
      <c r="P36" s="23">
        <v>20685000</v>
      </c>
      <c r="Q36" s="16">
        <f>Table3[[#This Row],[Talep Edilen Pay (Nominal TL)]]/Table3[[#This Row],[Halka Arz Edilen Pay (Nominal TL)]]</f>
        <v>4.1369999999999996</v>
      </c>
      <c r="R36" s="23">
        <v>2675408</v>
      </c>
      <c r="S36" s="27" t="s">
        <v>23</v>
      </c>
    </row>
    <row r="37" spans="1:19" s="1" customFormat="1" ht="15" customHeight="1" x14ac:dyDescent="0.25">
      <c r="A37" s="13">
        <v>35</v>
      </c>
      <c r="B37" s="15" t="s">
        <v>37</v>
      </c>
      <c r="C37" s="14">
        <v>45169</v>
      </c>
      <c r="D37" s="17" t="s">
        <v>52</v>
      </c>
      <c r="E37" s="14">
        <v>45183</v>
      </c>
      <c r="F37" s="28" t="s">
        <v>44</v>
      </c>
      <c r="G37" s="26" t="s">
        <v>19</v>
      </c>
      <c r="H37" s="23">
        <v>836000000</v>
      </c>
      <c r="I37" s="23">
        <v>31183906.716849379</v>
      </c>
      <c r="J37" s="23">
        <v>132000000</v>
      </c>
      <c r="K37" s="23">
        <f>Table3[[#This Row],[Mevcut Sermaye (TL)]]+Table3[[#This Row],[Nominal Sermaye Artış Tutarı (TL)]]</f>
        <v>164000000</v>
      </c>
      <c r="L37" s="23">
        <v>40000000</v>
      </c>
      <c r="M37" s="29">
        <v>32000000</v>
      </c>
      <c r="N37" s="29">
        <v>8000000</v>
      </c>
      <c r="O37" s="16">
        <v>20.9</v>
      </c>
      <c r="P37" s="23">
        <v>281282000</v>
      </c>
      <c r="Q37" s="16">
        <f>Table3[[#This Row],[Talep Edilen Pay (Nominal TL)]]/Table3[[#This Row],[Halka Arz Edilen Pay (Nominal TL)]]</f>
        <v>7.0320499999999999</v>
      </c>
      <c r="R37" s="23">
        <v>3364933</v>
      </c>
      <c r="S37" s="27" t="s">
        <v>23</v>
      </c>
    </row>
    <row r="38" spans="1:19" s="1" customFormat="1" ht="15" customHeight="1" x14ac:dyDescent="0.25">
      <c r="A38" s="13">
        <v>36</v>
      </c>
      <c r="B38" s="15" t="s">
        <v>38</v>
      </c>
      <c r="C38" s="14">
        <v>45176</v>
      </c>
      <c r="D38" s="17" t="s">
        <v>53</v>
      </c>
      <c r="E38" s="14">
        <v>45191</v>
      </c>
      <c r="F38" s="28" t="s">
        <v>27</v>
      </c>
      <c r="G38" s="26" t="s">
        <v>19</v>
      </c>
      <c r="H38" s="23">
        <v>1001180000.0000001</v>
      </c>
      <c r="I38" s="23">
        <v>37177125.881916083</v>
      </c>
      <c r="J38" s="23">
        <v>221500000</v>
      </c>
      <c r="K38" s="23">
        <f>Table3[[#This Row],[Mevcut Sermaye (TL)]]+Table3[[#This Row],[Nominal Sermaye Artış Tutarı (TL)]]</f>
        <v>254962907</v>
      </c>
      <c r="L38" s="23">
        <v>44300000</v>
      </c>
      <c r="M38" s="29">
        <v>33462907</v>
      </c>
      <c r="N38" s="29">
        <v>10837093</v>
      </c>
      <c r="O38" s="16">
        <v>22.6</v>
      </c>
      <c r="P38" s="23">
        <v>252282000</v>
      </c>
      <c r="Q38" s="16">
        <f>Table3[[#This Row],[Talep Edilen Pay (Nominal TL)]]/Table3[[#This Row],[Halka Arz Edilen Pay (Nominal TL)]]</f>
        <v>5.6948532731376975</v>
      </c>
      <c r="R38" s="23">
        <v>3735529</v>
      </c>
      <c r="S38" s="27" t="s">
        <v>23</v>
      </c>
    </row>
    <row r="39" spans="1:19" s="1" customFormat="1" ht="15" customHeight="1" x14ac:dyDescent="0.25">
      <c r="A39" s="13">
        <v>37</v>
      </c>
      <c r="B39" s="15" t="s">
        <v>39</v>
      </c>
      <c r="C39" s="14">
        <v>45176</v>
      </c>
      <c r="D39" s="17" t="s">
        <v>53</v>
      </c>
      <c r="E39" s="14">
        <v>45189</v>
      </c>
      <c r="F39" s="28" t="s">
        <v>28</v>
      </c>
      <c r="G39" s="26" t="s">
        <v>19</v>
      </c>
      <c r="H39" s="23">
        <v>1670042000</v>
      </c>
      <c r="I39" s="23">
        <v>62014184.923876718</v>
      </c>
      <c r="J39" s="23">
        <v>293700000</v>
      </c>
      <c r="K39" s="23">
        <f>Table3[[#This Row],[Mevcut Sermaye (TL)]]+Table3[[#This Row],[Nominal Sermaye Artış Tutarı (TL)]]</f>
        <v>367400000</v>
      </c>
      <c r="L39" s="23">
        <v>73700000</v>
      </c>
      <c r="M39" s="29">
        <v>73700000</v>
      </c>
      <c r="N39" s="29">
        <v>0</v>
      </c>
      <c r="O39" s="16">
        <v>22.66</v>
      </c>
      <c r="P39" s="23">
        <v>91133000</v>
      </c>
      <c r="Q39" s="16">
        <f>Table3[[#This Row],[Talep Edilen Pay (Nominal TL)]]/Table3[[#This Row],[Halka Arz Edilen Pay (Nominal TL)]]</f>
        <v>1.2365400271370421</v>
      </c>
      <c r="R39" s="23">
        <v>2536304</v>
      </c>
      <c r="S39" s="27" t="s">
        <v>23</v>
      </c>
    </row>
    <row r="40" spans="1:19" s="1" customFormat="1" x14ac:dyDescent="0.25">
      <c r="A40" s="13">
        <v>38</v>
      </c>
      <c r="B40" s="15" t="s">
        <v>40</v>
      </c>
      <c r="C40" s="14">
        <v>45176</v>
      </c>
      <c r="D40" s="17" t="s">
        <v>54</v>
      </c>
      <c r="E40" s="14">
        <v>45190</v>
      </c>
      <c r="F40" s="28" t="s">
        <v>128</v>
      </c>
      <c r="G40" s="26" t="s">
        <v>19</v>
      </c>
      <c r="H40" s="23">
        <v>1999500000.0000002</v>
      </c>
      <c r="I40" s="23">
        <v>74248050.501299679</v>
      </c>
      <c r="J40" s="23">
        <v>950000000</v>
      </c>
      <c r="K40" s="23">
        <f>Table3[[#This Row],[Mevcut Sermaye (TL)]]+Table3[[#This Row],[Nominal Sermaye Artış Tutarı (TL)]]</f>
        <v>1120000000</v>
      </c>
      <c r="L40" s="23">
        <v>215000000</v>
      </c>
      <c r="M40" s="29">
        <v>170000000</v>
      </c>
      <c r="N40" s="29">
        <v>45000000</v>
      </c>
      <c r="O40" s="16">
        <v>9.3000000000000007</v>
      </c>
      <c r="P40" s="23">
        <v>848217000</v>
      </c>
      <c r="Q40" s="16">
        <f>Table3[[#This Row],[Talep Edilen Pay (Nominal TL)]]/Table3[[#This Row],[Halka Arz Edilen Pay (Nominal TL)]]</f>
        <v>3.9451953488372093</v>
      </c>
      <c r="R40" s="23">
        <v>4208278</v>
      </c>
      <c r="S40" s="27" t="s">
        <v>23</v>
      </c>
    </row>
    <row r="41" spans="1:19" s="1" customFormat="1" ht="15" customHeight="1" x14ac:dyDescent="0.25">
      <c r="A41" s="13">
        <v>39</v>
      </c>
      <c r="B41" s="15" t="s">
        <v>41</v>
      </c>
      <c r="C41" s="14">
        <v>45183</v>
      </c>
      <c r="D41" s="17" t="s">
        <v>55</v>
      </c>
      <c r="E41" s="14">
        <v>45198</v>
      </c>
      <c r="F41" s="28" t="s">
        <v>25</v>
      </c>
      <c r="G41" s="26" t="s">
        <v>19</v>
      </c>
      <c r="H41" s="23">
        <v>768000000</v>
      </c>
      <c r="I41" s="23">
        <v>28335405.605835322</v>
      </c>
      <c r="J41" s="23">
        <v>185300000</v>
      </c>
      <c r="K41" s="23">
        <f>Table3[[#This Row],[Mevcut Sermaye (TL)]]+Table3[[#This Row],[Nominal Sermaye Artış Tutarı (TL)]]</f>
        <v>260300000</v>
      </c>
      <c r="L41" s="23">
        <v>75000000</v>
      </c>
      <c r="M41" s="29">
        <v>75000000</v>
      </c>
      <c r="N41" s="29">
        <v>0</v>
      </c>
      <c r="O41" s="16">
        <v>10.24</v>
      </c>
      <c r="P41" s="23">
        <v>516189000</v>
      </c>
      <c r="Q41" s="16">
        <f>Table3[[#This Row],[Talep Edilen Pay (Nominal TL)]]/Table3[[#This Row],[Halka Arz Edilen Pay (Nominal TL)]]</f>
        <v>6.8825200000000004</v>
      </c>
      <c r="R41" s="23">
        <v>2974287</v>
      </c>
      <c r="S41" s="27" t="s">
        <v>23</v>
      </c>
    </row>
    <row r="42" spans="1:19" s="1" customFormat="1" ht="15" customHeight="1" x14ac:dyDescent="0.25">
      <c r="A42" s="13"/>
      <c r="B42" s="15"/>
      <c r="C42" s="11"/>
      <c r="D42" s="17"/>
      <c r="E42" s="14"/>
      <c r="F42" s="17"/>
      <c r="G42" s="17"/>
      <c r="H42" s="23"/>
      <c r="I42" s="23"/>
      <c r="J42" s="23"/>
      <c r="K42" s="23"/>
      <c r="L42" s="23"/>
      <c r="M42" s="23"/>
      <c r="N42" s="30"/>
      <c r="O42" s="16"/>
      <c r="P42" s="23"/>
      <c r="Q42" s="16"/>
      <c r="R42" s="23"/>
      <c r="S42" s="16"/>
    </row>
    <row r="43" spans="1:19" s="1" customFormat="1" ht="15.75" customHeight="1" x14ac:dyDescent="0.3">
      <c r="A43" s="13"/>
      <c r="B43" s="12" t="s">
        <v>0</v>
      </c>
      <c r="C43" s="10"/>
      <c r="D43" s="10"/>
      <c r="E43" s="10"/>
      <c r="F43" s="10"/>
      <c r="G43" s="10"/>
      <c r="H43" s="24">
        <f>SUM(H3:H42)</f>
        <v>46678582755.399994</v>
      </c>
      <c r="I43" s="24">
        <f>SUM(I3:I42)</f>
        <v>2283292480.572269</v>
      </c>
      <c r="J43" s="24"/>
      <c r="K43" s="8"/>
      <c r="L43" s="24">
        <f>SUM(L3:L42)</f>
        <v>2553023789</v>
      </c>
      <c r="M43" s="24">
        <f>SUM(M3:M42)</f>
        <v>1664259993</v>
      </c>
      <c r="N43" s="24">
        <f>SUM(N3:N42)</f>
        <v>888763796</v>
      </c>
      <c r="O43" s="22"/>
      <c r="P43" s="24">
        <f>SUM(P3:P42)</f>
        <v>33575306000</v>
      </c>
      <c r="Q43" s="25">
        <f>Table3[[#This Row],[Talep Edilen Pay (Nominal TL)]]/Table3[[#This Row],[Halka Arz Edilen Pay (Nominal TL)]]</f>
        <v>13.151191988364195</v>
      </c>
      <c r="R43" s="22"/>
      <c r="S43" s="9"/>
    </row>
    <row r="44" spans="1:19" s="1" customFormat="1" ht="15.75" customHeight="1" x14ac:dyDescent="0.25">
      <c r="A44" s="3" t="s">
        <v>11</v>
      </c>
      <c r="B44" s="2"/>
      <c r="C44" s="7"/>
      <c r="D44" s="7"/>
      <c r="E44" s="7"/>
      <c r="F44" s="6"/>
      <c r="G44" s="6"/>
      <c r="H44" s="5"/>
      <c r="I44" s="5"/>
      <c r="J44" s="5"/>
      <c r="K44" s="5"/>
      <c r="L44" s="5"/>
      <c r="M44" s="4"/>
      <c r="N44" s="4"/>
      <c r="O44" s="4"/>
      <c r="P44" s="4"/>
      <c r="Q44" s="4"/>
      <c r="R44" s="4"/>
      <c r="S44" s="4"/>
    </row>
    <row r="45" spans="1:19" x14ac:dyDescent="0.25">
      <c r="A45" s="3" t="s">
        <v>21</v>
      </c>
      <c r="B45" s="2"/>
      <c r="C45" s="7"/>
      <c r="D45" s="7"/>
      <c r="E45" s="7"/>
      <c r="F45" s="6"/>
      <c r="G45" s="6"/>
      <c r="H45" s="5"/>
      <c r="I45" s="5"/>
      <c r="J45" s="5"/>
      <c r="K45" s="5"/>
      <c r="L45" s="5"/>
      <c r="M45" s="4"/>
      <c r="N45" s="4"/>
      <c r="O45" s="4"/>
      <c r="P45" s="4"/>
      <c r="Q45" s="4"/>
      <c r="R45" s="4"/>
      <c r="S45" s="4"/>
    </row>
  </sheetData>
  <mergeCells count="1">
    <mergeCell ref="A1:L1"/>
  </mergeCells>
  <pageMargins left="0.7" right="0.7" top="0.75" bottom="0.75" header="0.3" footer="0.3"/>
  <pageSetup paperSize="9" orientation="portrait" r:id="rId1"/>
  <ignoredErrors>
    <ignoredError sqref="L30:L41 L3:L15 Q3:Q15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Payların İlk Halka Arzı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spk</dc:creator>
  <cp:lastModifiedBy>Windows Kullanıcısı</cp:lastModifiedBy>
  <dcterms:created xsi:type="dcterms:W3CDTF">2019-01-29T06:56:05Z</dcterms:created>
  <dcterms:modified xsi:type="dcterms:W3CDTF">2023-10-16T12:49:55Z</dcterms:modified>
</cp:coreProperties>
</file>