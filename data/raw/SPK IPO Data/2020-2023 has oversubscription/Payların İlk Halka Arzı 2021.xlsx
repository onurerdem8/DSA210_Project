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ankfps03\Daireler\ad\web_veri\ilk_halka_arz\"/>
    </mc:Choice>
  </mc:AlternateContent>
  <bookViews>
    <workbookView xWindow="0" yWindow="1260" windowWidth="28800" windowHeight="11880"/>
  </bookViews>
  <sheets>
    <sheet name="Payların İlk Halka Arzı"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5" i="1" l="1"/>
  <c r="K3" i="1"/>
  <c r="K4" i="1"/>
  <c r="K5" i="1"/>
  <c r="K6" i="1"/>
  <c r="K7" i="1"/>
  <c r="K8" i="1"/>
  <c r="K9" i="1"/>
  <c r="K10" i="1"/>
  <c r="K11" i="1"/>
  <c r="K12" i="1"/>
  <c r="K13" i="1"/>
  <c r="K14" i="1"/>
  <c r="K15" i="1"/>
  <c r="K34" i="1"/>
  <c r="K33" i="1"/>
  <c r="L32" i="1"/>
  <c r="K32" i="1"/>
  <c r="K31" i="1"/>
  <c r="K30" i="1"/>
  <c r="K29" i="1"/>
  <c r="K28" i="1"/>
  <c r="K27" i="1"/>
  <c r="K26" i="1"/>
  <c r="K25" i="1"/>
  <c r="K24" i="1"/>
  <c r="K23" i="1"/>
  <c r="K22" i="1"/>
  <c r="K21" i="1"/>
  <c r="K20" i="1"/>
  <c r="K19" i="1"/>
  <c r="K18" i="1"/>
  <c r="Q17" i="1"/>
  <c r="K17" i="1"/>
  <c r="K16" i="1"/>
  <c r="L4" i="1" l="1"/>
  <c r="L5" i="1"/>
  <c r="L6" i="1"/>
  <c r="H6" i="1" s="1"/>
  <c r="L7" i="1"/>
  <c r="H7" i="1" s="1"/>
  <c r="L8" i="1"/>
  <c r="L9" i="1"/>
  <c r="H9" i="1" s="1"/>
  <c r="L10" i="1"/>
  <c r="L11" i="1"/>
  <c r="H11" i="1" s="1"/>
  <c r="L12" i="1"/>
  <c r="H12" i="1" s="1"/>
  <c r="L13" i="1"/>
  <c r="L14" i="1"/>
  <c r="L15" i="1"/>
  <c r="H15" i="1" s="1"/>
  <c r="L16" i="1"/>
  <c r="H16" i="1" s="1"/>
  <c r="L17" i="1"/>
  <c r="L18" i="1"/>
  <c r="L19" i="1"/>
  <c r="H19" i="1" s="1"/>
  <c r="L20" i="1"/>
  <c r="H20" i="1" s="1"/>
  <c r="L21" i="1"/>
  <c r="L22" i="1"/>
  <c r="H22" i="1" s="1"/>
  <c r="L23" i="1"/>
  <c r="H23" i="1" s="1"/>
  <c r="L24" i="1"/>
  <c r="H24" i="1" s="1"/>
  <c r="L25" i="1"/>
  <c r="L26" i="1"/>
  <c r="L27" i="1"/>
  <c r="H27" i="1" s="1"/>
  <c r="L28" i="1"/>
  <c r="H28" i="1" s="1"/>
  <c r="L29" i="1"/>
  <c r="L30" i="1"/>
  <c r="L31" i="1"/>
  <c r="H31" i="1" s="1"/>
  <c r="H32" i="1"/>
  <c r="L33" i="1"/>
  <c r="L34" i="1"/>
  <c r="L3" i="1"/>
  <c r="H4" i="1"/>
  <c r="H5" i="1"/>
  <c r="H8" i="1"/>
  <c r="H10" i="1"/>
  <c r="H13" i="1"/>
  <c r="H14" i="1"/>
  <c r="H17" i="1"/>
  <c r="H18" i="1"/>
  <c r="H21" i="1"/>
  <c r="H25" i="1"/>
  <c r="H26" i="1"/>
  <c r="H29" i="1"/>
  <c r="H30" i="1"/>
  <c r="H33" i="1"/>
  <c r="H34" i="1"/>
  <c r="Q4" i="1" l="1"/>
  <c r="Q7" i="1"/>
  <c r="Q8" i="1"/>
  <c r="Q5" i="1"/>
  <c r="Q6" i="1"/>
  <c r="Q9" i="1"/>
  <c r="Q10" i="1"/>
  <c r="Q11" i="1"/>
  <c r="Q13" i="1"/>
  <c r="Q14" i="1"/>
  <c r="Q15" i="1"/>
  <c r="Q12" i="1"/>
  <c r="Q16" i="1"/>
  <c r="Q19" i="1"/>
  <c r="Q20" i="1"/>
  <c r="Q21" i="1"/>
  <c r="Q18" i="1"/>
  <c r="Q22" i="1"/>
  <c r="Q23" i="1"/>
  <c r="Q25" i="1"/>
  <c r="Q26" i="1"/>
  <c r="Q27" i="1"/>
  <c r="Q24" i="1"/>
  <c r="H3" i="1" l="1"/>
  <c r="P35" i="1"/>
  <c r="N35" i="1"/>
  <c r="M35" i="1"/>
  <c r="Q34" i="1" l="1"/>
  <c r="Q33" i="1"/>
  <c r="L35" i="1"/>
  <c r="Q32" i="1"/>
  <c r="Q31" i="1"/>
  <c r="Q30" i="1"/>
  <c r="Q29" i="1"/>
  <c r="Q28" i="1"/>
  <c r="Q3" i="1"/>
  <c r="H35" i="1" l="1"/>
  <c r="I35" i="1"/>
</calcChain>
</file>

<file path=xl/sharedStrings.xml><?xml version="1.0" encoding="utf-8"?>
<sst xmlns="http://schemas.openxmlformats.org/spreadsheetml/2006/main" count="183" uniqueCount="115">
  <si>
    <t>TOPLAM</t>
  </si>
  <si>
    <t>Ana Pazar</t>
  </si>
  <si>
    <t>Metro Yatırım Menkul Değerler A.Ş.</t>
  </si>
  <si>
    <t>Gedik Yatırım Menkul Değerler A.Ş.</t>
  </si>
  <si>
    <t>Nominal Ortak Satış Tutarı (TL)</t>
  </si>
  <si>
    <t>Nominal Sermaye Artış Tutarı (TL)</t>
  </si>
  <si>
    <t>Toplanan Fon Miktarı (TL)*</t>
  </si>
  <si>
    <t>İşlem Gördüğü Pazar</t>
  </si>
  <si>
    <t>Borsada İşlem Görme Tarihi</t>
  </si>
  <si>
    <t>Halka Arza Aracılık Eden Yetkili Kuruluş</t>
  </si>
  <si>
    <t>İzahname Onay
Kurul Karar Tarihi</t>
  </si>
  <si>
    <t>Şirket Adı</t>
  </si>
  <si>
    <t xml:space="preserve">Sıra              </t>
  </si>
  <si>
    <t xml:space="preserve">Halka Arz Tarihi
</t>
  </si>
  <si>
    <t>* Halka arzdan elde edilen toplam fon miktarı olup, sermaye artırımı, ek satış, portföyden satış vb. dahildir.</t>
  </si>
  <si>
    <t>Toplanan Fon Miktarı (USD)</t>
  </si>
  <si>
    <t>Halka Arz Sonrası Sermaye (TL)</t>
  </si>
  <si>
    <t>Talep Edilen Pay (Nominal TL)</t>
  </si>
  <si>
    <t>Talebin Halka Arza Oranı</t>
  </si>
  <si>
    <t>Dağıtımı Yapılan Yatırımcı Sayısı</t>
  </si>
  <si>
    <t>Satış Yöntemi**</t>
  </si>
  <si>
    <t>Halka Arz Fiyatı (TL)</t>
  </si>
  <si>
    <t>İnfo Yatırım Menkul Değerler A.Ş.</t>
  </si>
  <si>
    <t>Oyak Yatırım Menkul Değerler A.Ş.</t>
  </si>
  <si>
    <t>Yapı Kredi Yatırım Menkul Değerler A.Ş.</t>
  </si>
  <si>
    <t>Yıldız Pazar</t>
  </si>
  <si>
    <t>Halka Arz Edilen Pay (Nominal TL)</t>
  </si>
  <si>
    <t>Borsa'da sabit fiyatla talep toplama</t>
  </si>
  <si>
    <t>Sabit Fiyatla Talep Toplama</t>
  </si>
  <si>
    <t>Fiyat Aralığı İle Talep Toplama</t>
  </si>
  <si>
    <t>** Fiyat aralığı ile talep toplama yöntemi ile elde edilen halka arz gelirleri birim satış fiyatından hesaplanmıştır.</t>
  </si>
  <si>
    <t>2021 YILI PAY İLK HALKA ARZLARI ÖZET DURUM TABLOSU</t>
  </si>
  <si>
    <t>Işık Plastik Sanayi ve Dış Ticaret Pazarlama A.Ş.</t>
  </si>
  <si>
    <t>Turk İlaç ve Serum Sanayi A.Ş.</t>
  </si>
  <si>
    <t>Naturelgaz Sanayi ve Ticaret A.Ş.</t>
  </si>
  <si>
    <t>Matriks Bilgi Dağıtım Hizmetleri A.Ş.</t>
  </si>
  <si>
    <t>Tureks Turizm Taşımacılık A.Ş.</t>
  </si>
  <si>
    <t>Qua Granıte Hayal Yapı ve Ürünleri Sanayi Ticaret A.Ş.</t>
  </si>
  <si>
    <t>Galata Wind Enerji A.Ş.</t>
  </si>
  <si>
    <t xml:space="preserve">Biotrend Çevre ve Enerji Yatırımları A.Ş. </t>
  </si>
  <si>
    <t>Aydem Yenilenebilir Enerji A.Ş.</t>
  </si>
  <si>
    <t>Çan-2 Termik A.Ş.</t>
  </si>
  <si>
    <t>Ziraat Gayrimenkul Yatırım Ortaklığı A.Ş.</t>
  </si>
  <si>
    <t>Penta Teknoloji Ürünleri Dağıtım Ticaret A.Ş.</t>
  </si>
  <si>
    <t>Kalekim Kimyevi Maddeler Sanayi ve Ticaret A.Ş.</t>
  </si>
  <si>
    <t>Mercan Kimya Sanayi ve Ticaret A.Ş.</t>
  </si>
  <si>
    <t xml:space="preserve">ATP Ticari Bilgisayar Ağı ve Elektrik Güç Kaynakları Üretim Pazarlama ve Ticaret A.Ş. </t>
  </si>
  <si>
    <t>Boğaziçi Beton Sanayi ve Ticaret A.Ş.</t>
  </si>
  <si>
    <t>Ünlü Yatırım Holding A.Ş:</t>
  </si>
  <si>
    <t>BMS Çelik Hasır Sanayi ve Ticaret A.Ş.</t>
  </si>
  <si>
    <t>Başkent Doğalgaz Dağıtım Gayrimenkul Yatırım Ortaklığı A.Ş.</t>
  </si>
  <si>
    <t>Selva Gıda Sanayi A.Ş.</t>
  </si>
  <si>
    <t>Meditera Tıbbi Malzeme Sanayi ve Ticaret A.Ş.</t>
  </si>
  <si>
    <t>E-Data Teknoloji Pazarlama A.Ş.</t>
  </si>
  <si>
    <t>Kütahya Şeker Fabrikası A.Ş.</t>
  </si>
  <si>
    <t>VBT Yazılım A.Ş.</t>
  </si>
  <si>
    <t>Escar Turizm Taşımacılık Ticaret A.Ş.</t>
  </si>
  <si>
    <t>Kartal Yenilenebilir Enerji Üretim A.Ş.</t>
  </si>
  <si>
    <t>Manas Enerji Yönetimi Sanayi ve Ticaret A.Ş.</t>
  </si>
  <si>
    <t xml:space="preserve">Gen İlaç ve Sağlık Ürünleri Sanayi ve Ticaret A.Ş. </t>
  </si>
  <si>
    <t xml:space="preserve">Kızılbük Gayrimenkul Yatırım Ortaklığı A.Ş. </t>
  </si>
  <si>
    <t>Girişim Elektrik Sanayi Taahhüt ve Ticaret A.Ş.</t>
  </si>
  <si>
    <t>Birleşim Mühendislik Isıtma Soğutma Havalandırma Sanayi ve Ticaret A.ş.</t>
  </si>
  <si>
    <t>25-26/02/2021</t>
  </si>
  <si>
    <t>25-26/03/2021</t>
  </si>
  <si>
    <t>30-31/03/2021</t>
  </si>
  <si>
    <t>01-02.04.2021</t>
  </si>
  <si>
    <t>05-06/04/2021</t>
  </si>
  <si>
    <t>15-16/04/2021</t>
  </si>
  <si>
    <t>19-21/04/2021</t>
  </si>
  <si>
    <t>19-22/04/2021</t>
  </si>
  <si>
    <t>21-22/04/2021</t>
  </si>
  <si>
    <t>28-30/04/2021</t>
  </si>
  <si>
    <t>06-07/05/2021</t>
  </si>
  <si>
    <t>20-21/05/2021</t>
  </si>
  <si>
    <t>27-28/05/2021</t>
  </si>
  <si>
    <t>26-28/05/2021</t>
  </si>
  <si>
    <t>31/05/2021-01/06/2021</t>
  </si>
  <si>
    <t>02-04/06/2021</t>
  </si>
  <si>
    <t>03-04/06/2021</t>
  </si>
  <si>
    <t>17-18/06/2021</t>
  </si>
  <si>
    <t>23-24-25/06/2021</t>
  </si>
  <si>
    <t>29-30/06/2021</t>
  </si>
  <si>
    <t>01-02/07/2021</t>
  </si>
  <si>
    <t>05-06/07/2021</t>
  </si>
  <si>
    <t>07-08/07/2021</t>
  </si>
  <si>
    <t>09-12/07/2021</t>
  </si>
  <si>
    <t>13-14/07/2021</t>
  </si>
  <si>
    <t>28-30/07/2021</t>
  </si>
  <si>
    <t>04-06/08/2021</t>
  </si>
  <si>
    <t>11-12-13/08/2021</t>
  </si>
  <si>
    <t>Garanti Yatırım Menkul Değerler A.Ş.</t>
  </si>
  <si>
    <t xml:space="preserve">Vakıf Yatırım Menkul Değerler A.Ş. </t>
  </si>
  <si>
    <t xml:space="preserve">Garanti Yatırım Menkul Kıymetler A.Ş. </t>
  </si>
  <si>
    <t xml:space="preserve">Deniz Yatırım Menkul Kıymetler A.Ş. 
</t>
  </si>
  <si>
    <t>Garanti Yatırım Menkul Kıymetler A.Ş., İş Yatırım Menkul Değerler A.Ş., Türkiye Kalkınma ve Yatırım Bankası A.Ş., Yapı Kredi Yatırım Menkul Değerler A.Ş., A1 Capital Yatırım Menkul Değerler A.Ş. (Birlikte Konsorsiyum liderleri)</t>
  </si>
  <si>
    <t>Halk Yatırım Menkul Değerler A.Ş. , Vakıf Yatırım Menkul Değerler A.Ş.(Birlikte Konsorsiyum liderleri)</t>
  </si>
  <si>
    <t>Ziraat Yatırım Menkul Değerler A.Ş.</t>
  </si>
  <si>
    <t>İş Yatırım Menkul Değerler A.Ş.</t>
  </si>
  <si>
    <t>Ak Yatırım Menkul Değerler A.Ş.</t>
  </si>
  <si>
    <t>A1 Capital Yatırım Menkul Değerler A.Ş.</t>
  </si>
  <si>
    <t>Vakıf Yatırım Menkul Değerler A.Ş.</t>
  </si>
  <si>
    <t xml:space="preserve">Invest AZ Menkul Değerler </t>
  </si>
  <si>
    <t>Garanti Yatırım Menkul Kıymetler A.Ş., A1 Capital Menkul Değerler A.Ş., Ahlatçı Yatırım Menkul Değerler A.Ş., Ak Yatırım Menkul Değerler A.Ş., Alnus Yatırım Menkul Değerler A.Ş., Alternatif Yatırım Menkul Değerler A.Ş., Anadolu Yatırım Menkul Kıymetler A.Ş., Ata Yatırım Menkul Kıymetler A.Ş., Deniz Yatırım Menkul Kıymetler A.Ş., Dinamik Menkul Değerler A.Ş.,Gedik Yatırım Menkul Değerler A.Ş., Global Menkul Değerler A.Ş., Halk Yatırım Menkul Değerler A.Ş., ICBC Turkey Yatırım Menkul Değerler A.Ş., Ing Yatırım Menkul Değerler A.Ş., Investaz Yatırım Menkul Değerler A.Ş., İnfo Yatırım Menkul Değerler A.Ş., İş Yatırım Menkul Değerler A.Ş., İntegral Yatırım Menkul Değerler A.Ş., Marbaş Menkul Değerler A.Ş., Meksa Yatırım Menkul Değerler A.Ş., Oyak Yatırım Menkul Değerler A.Ş., Piramit Menkul Kıymetler A.Ş., QNB Finans Yatırım Menkul Değerler A.Ş., Şeker Yatırım Menkul Değerler A.Ş., Tacirler Yatırım Menkul Değerler A.Ş., Tera Yatırım Menkul Değerler A.Ş., Ünlü Menkul Değerler A.Ş., Vakıf Yatırım Menkul Değerler A.Ş., Yapı Kredi Yatırım Menkul Değerler A.Ş., Ziraat Yatırım Menkul Değerler A.Ş.,</t>
  </si>
  <si>
    <t>Ahlatçı Yatırım Menkul Değerler A.Ş.</t>
  </si>
  <si>
    <t>Tacirler Yatırım Menkul Değerler A.Ş.</t>
  </si>
  <si>
    <t>Tera Yatırım Menkul Değerler A.Ş.</t>
  </si>
  <si>
    <t xml:space="preserve">Halk Yatırım Menkul Değerler A.Ş. , Türkiye Kalkınma ve Yatırım Bankası A.Ş. </t>
  </si>
  <si>
    <t>QNB Finans Yatırım Menkul Değerler A.Ş.</t>
  </si>
  <si>
    <t>Değişken fiyatla Talep Toplama</t>
  </si>
  <si>
    <t>Borsada Sabit Fiyatla Talep Toplama</t>
  </si>
  <si>
    <t>Sabit fiyatla Talep Toplama</t>
  </si>
  <si>
    <t xml:space="preserve"> Sabit Fiyatla Talep Toplama</t>
  </si>
  <si>
    <t>21-22/01/2021</t>
  </si>
  <si>
    <t>Mevcut Sermaye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</si>
</sst>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yyyy"/>
  </numFmts>
  <fonts count="10" x14ac:knownFonts="1">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3" tint="0.39997558519241921"/>
      <name val="Calibri"/>
      <family val="2"/>
      <charset val="162"/>
      <scheme val="minor"/>
    </font>
    <font>
      <b/>
      <sz val="12"/>
      <color theme="4" tint="-0.249977111117893"/>
      <name val="Calibri"/>
      <family val="2"/>
      <charset val="162"/>
      <scheme val="minor"/>
    </font>
    <font>
      <sz val="12"/>
      <color theme="4" tint="-0.249977111117893"/>
      <name val="Calibri"/>
      <family val="2"/>
      <charset val="162"/>
      <scheme val="minor"/>
    </font>
    <font>
      <b/>
      <sz val="14"/>
      <color theme="3" tint="0.39997558519241921"/>
      <name val="Calibri"/>
      <family val="2"/>
      <charset val="162"/>
      <scheme val="minor"/>
    </font>
    <font>
      <b/>
      <u val="double"/>
      <sz val="20"/>
      <color theme="4" tint="-0.249977111117893"/>
      <name val="Calibri"/>
      <family val="2"/>
      <charset val="162"/>
      <scheme val="minor"/>
    </font>
    <font>
      <sz val="11"/>
      <color theme="1"/>
      <name val="Calibri"/>
      <scheme val="minor"/>
    </font>
  </fonts>
  <fills count="4">
    <fill>
      <patternFill patternType="none"/>
    </fill>
    <fill>
      <patternFill patternType="gray125"/>
    </fill>
    <fill>
      <patternFill patternType="solid">
        <fgColor theme="0"/>
        <bgColor indexed="64"/>
      </patternFill>
    </fill>
    <fill>
      <patternFill patternType="solid">
        <fgColor theme="4"/>
        <bgColor theme="4"/>
      </patternFill>
    </fill>
  </fills>
  <borders count="4">
    <border>
      <left/>
      <right/>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top/>
      <bottom style="thin">
        <color theme="4" tint="0.39997558519241921"/>
      </bottom>
      <diagonal/>
    </border>
  </borders>
  <cellStyleXfs count="1">
    <xf numFmtId="0" fontId="0" fillId="0" borderId="0"/>
  </cellStyleXfs>
  <cellXfs count="39">
    <xf numFmtId="0" fontId="0" fillId="0" borderId="0" xfId="0"/>
    <xf numFmtId="0" fontId="0" fillId="0" borderId="0" xfId="0" applyFill="1"/>
    <xf numFmtId="0" fontId="0" fillId="2" borderId="0" xfId="0" applyFill="1" applyBorder="1"/>
    <xf numFmtId="0" fontId="4" fillId="2" borderId="0" xfId="0" applyFont="1" applyFill="1" applyBorder="1"/>
    <xf numFmtId="4" fontId="1" fillId="2" borderId="0" xfId="0" applyNumberFormat="1" applyFont="1" applyFill="1" applyBorder="1" applyAlignment="1">
      <alignment horizontal="center"/>
    </xf>
    <xf numFmtId="4" fontId="1" fillId="2" borderId="0" xfId="0" applyNumberFormat="1" applyFont="1" applyFill="1" applyBorder="1" applyAlignment="1">
      <alignment horizontal="right"/>
    </xf>
    <xf numFmtId="14" fontId="1" fillId="2" borderId="0" xfId="0" applyNumberFormat="1" applyFont="1" applyFill="1" applyBorder="1" applyAlignment="1">
      <alignment horizontal="center"/>
    </xf>
    <xf numFmtId="0" fontId="1" fillId="2" borderId="0" xfId="0" applyFont="1" applyFill="1" applyBorder="1" applyAlignment="1">
      <alignment horizontal="center"/>
    </xf>
    <xf numFmtId="4" fontId="5" fillId="0" borderId="2" xfId="0" applyNumberFormat="1" applyFont="1" applyFill="1" applyBorder="1" applyAlignment="1">
      <alignment horizontal="right"/>
    </xf>
    <xf numFmtId="4" fontId="6" fillId="0" borderId="3" xfId="0" applyNumberFormat="1" applyFont="1" applyFill="1" applyBorder="1" applyAlignment="1">
      <alignment horizontal="right"/>
    </xf>
    <xf numFmtId="0" fontId="7" fillId="0" borderId="3" xfId="0" applyFont="1" applyFill="1" applyBorder="1" applyAlignment="1">
      <alignment horizontal="center"/>
    </xf>
    <xf numFmtId="14" fontId="1" fillId="0" borderId="3" xfId="0" applyNumberFormat="1" applyFont="1" applyFill="1" applyBorder="1" applyAlignment="1">
      <alignment horizontal="center"/>
    </xf>
    <xf numFmtId="0" fontId="3" fillId="0" borderId="1" xfId="0" applyFont="1" applyFill="1" applyBorder="1" applyAlignment="1"/>
    <xf numFmtId="0" fontId="0" fillId="0" borderId="1" xfId="0" applyFont="1" applyFill="1" applyBorder="1" applyAlignment="1">
      <alignment horizontal="center"/>
    </xf>
    <xf numFmtId="14" fontId="1" fillId="0" borderId="3" xfId="0" applyNumberFormat="1" applyFont="1" applyFill="1" applyBorder="1" applyAlignment="1">
      <alignment horizontal="center"/>
    </xf>
    <xf numFmtId="0" fontId="0" fillId="0" borderId="3" xfId="0" applyFont="1" applyFill="1" applyBorder="1" applyAlignment="1">
      <alignment wrapText="1"/>
    </xf>
    <xf numFmtId="0" fontId="0" fillId="0" borderId="3" xfId="0" applyFont="1" applyFill="1" applyBorder="1" applyAlignment="1"/>
    <xf numFmtId="4" fontId="0" fillId="0" borderId="3" xfId="0" applyNumberFormat="1" applyFont="1" applyFill="1" applyBorder="1" applyAlignment="1">
      <alignment horizontal="right"/>
    </xf>
    <xf numFmtId="14" fontId="0" fillId="0" borderId="3" xfId="0" applyNumberFormat="1" applyFont="1" applyFill="1" applyBorder="1" applyAlignment="1">
      <alignment horizontal="center"/>
    </xf>
    <xf numFmtId="14" fontId="0" fillId="0" borderId="3" xfId="0" applyNumberFormat="1" applyFont="1" applyFill="1" applyBorder="1" applyAlignment="1">
      <alignment horizontal="center"/>
    </xf>
    <xf numFmtId="0" fontId="2" fillId="3" borderId="3" xfId="0" applyFont="1" applyFill="1" applyBorder="1" applyAlignment="1">
      <alignment horizontal="center" vertical="center" wrapText="1"/>
    </xf>
    <xf numFmtId="4" fontId="2" fillId="3" borderId="3"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left" vertical="center"/>
    </xf>
    <xf numFmtId="0" fontId="8" fillId="0" borderId="0" xfId="0" applyFont="1" applyAlignment="1">
      <alignment horizontal="center" vertical="center"/>
    </xf>
    <xf numFmtId="0" fontId="8" fillId="0" borderId="0" xfId="0" applyFont="1" applyAlignment="1">
      <alignment horizontal="center" vertical="center"/>
    </xf>
    <xf numFmtId="4" fontId="5" fillId="0" borderId="3" xfId="0" applyNumberFormat="1" applyFont="1" applyFill="1" applyBorder="1" applyAlignment="1">
      <alignment horizontal="right"/>
    </xf>
    <xf numFmtId="0" fontId="8" fillId="0" borderId="0" xfId="0" applyFont="1" applyAlignment="1">
      <alignment horizontal="center" vertical="center"/>
    </xf>
    <xf numFmtId="3" fontId="0" fillId="0" borderId="3" xfId="0" applyNumberFormat="1" applyFont="1" applyFill="1" applyBorder="1" applyAlignment="1">
      <alignment horizontal="right"/>
    </xf>
    <xf numFmtId="3" fontId="5" fillId="0" borderId="2" xfId="0" applyNumberFormat="1" applyFont="1" applyFill="1" applyBorder="1" applyAlignment="1">
      <alignment horizontal="right"/>
    </xf>
    <xf numFmtId="4" fontId="3" fillId="0" borderId="3" xfId="0" applyNumberFormat="1" applyFont="1" applyFill="1" applyBorder="1" applyAlignment="1">
      <alignment horizontal="right"/>
    </xf>
    <xf numFmtId="0" fontId="8" fillId="0" borderId="0" xfId="0" applyFont="1" applyAlignment="1">
      <alignment horizontal="center" vertical="center"/>
    </xf>
    <xf numFmtId="164" fontId="9" fillId="0" borderId="3" xfId="0" applyNumberFormat="1" applyFont="1" applyFill="1" applyBorder="1" applyAlignment="1">
      <alignment horizontal="center"/>
    </xf>
    <xf numFmtId="14" fontId="9" fillId="0" borderId="3" xfId="0" applyNumberFormat="1" applyFont="1" applyFill="1" applyBorder="1" applyAlignment="1">
      <alignment horizontal="center"/>
    </xf>
    <xf numFmtId="4" fontId="9" fillId="0" borderId="3" xfId="0" applyNumberFormat="1" applyFont="1" applyFill="1" applyBorder="1" applyAlignment="1">
      <alignment horizontal="center"/>
    </xf>
    <xf numFmtId="164" fontId="9" fillId="0" borderId="3" xfId="0" applyNumberFormat="1" applyFont="1" applyFill="1" applyBorder="1" applyAlignment="1">
      <alignment horizontal="center" wrapText="1"/>
    </xf>
    <xf numFmtId="3" fontId="9" fillId="0" borderId="3" xfId="0" applyNumberFormat="1" applyFont="1" applyFill="1" applyBorder="1" applyAlignment="1">
      <alignment horizontal="right"/>
    </xf>
    <xf numFmtId="3" fontId="0" fillId="0" borderId="3" xfId="0" applyNumberFormat="1" applyFont="1" applyFill="1" applyBorder="1" applyAlignment="1"/>
    <xf numFmtId="3" fontId="9" fillId="0" borderId="3" xfId="0" applyNumberFormat="1" applyFont="1" applyFill="1" applyBorder="1" applyAlignment="1"/>
  </cellXfs>
  <cellStyles count="1">
    <cellStyle name="Normal" xfId="0" builtinId="0"/>
  </cellStyles>
  <dxfs count="35">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relativeIndent="0" justifyLastLine="0" shrinkToFit="0" readingOrder="0"/>
      <border diagonalUp="0" diagonalDown="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numFmt numFmtId="4" formatCode="#,##0.0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relativeIndent="0" justifyLastLine="0" shrinkToFit="0" readingOrder="0"/>
      <border diagonalUp="0" diagonalDown="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relativeIndent="0" justifyLastLine="0" shrinkToFit="0" readingOrder="0"/>
      <border diagonalUp="0" diagonalDown="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4" formatCode="#,##0.00"/>
      <fill>
        <patternFill patternType="none">
          <fgColor indexed="64"/>
          <bgColor indexed="65"/>
        </patternFill>
      </fill>
      <alignment horizontal="right" vertical="bottom" textRotation="0" wrapText="0" indent="0" justifyLastLine="0" shrinkToFit="0" readingOrder="0"/>
      <border diagonalUp="0" diagonalDown="0">
        <left/>
        <right/>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outline="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outline="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d/mm/yyyy"/>
      <fill>
        <patternFill patternType="none">
          <fgColor indexed="64"/>
          <bgColor indexed="65"/>
        </patternFill>
      </fill>
      <alignment horizontal="center" vertical="bottom" textRotation="0" wrapText="0" indent="0" justifyLastLine="0" shrinkToFit="0" readingOrder="0"/>
      <border diagonalUp="0" diagonalDown="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d/mm/yyyy"/>
      <fill>
        <patternFill patternType="none">
          <fgColor indexed="64"/>
          <bgColor indexed="65"/>
        </patternFill>
      </fill>
      <alignment horizontal="center" vertical="bottom" textRotation="0" wrapText="0" indent="0" justifyLastLine="0" shrinkToFit="0" readingOrder="0"/>
      <border diagonalUp="0" diagonalDown="0" outline="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relativeIndent="0" justifyLastLine="0" shrinkToFit="0" readingOrder="0"/>
      <border diagonalUp="0" diagonalDown="0" outline="0">
        <left/>
        <right/>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ill>
        <patternFill patternType="none">
          <fgColor indexed="64"/>
          <bgColor indexed="65"/>
        </patternFill>
      </fill>
      <alignment horizontal="general" vertical="bottom" textRotation="0" wrapText="0" relativeIndent="0" justifyLastLine="0" shrinkToFit="0" readingOrder="0"/>
      <border diagonalUp="0" diagonalDown="0" outline="0">
        <left/>
        <right/>
        <top/>
        <bottom style="thin">
          <color theme="4" tint="0.39997558519241921"/>
        </bottom>
      </border>
    </dxf>
    <dxf>
      <fill>
        <patternFill patternType="none">
          <fgColor indexed="64"/>
          <bgColor indexed="65"/>
        </patternFill>
      </fill>
      <alignment horizontal="general" vertical="bottom" textRotation="0" wrapText="0" indent="0" justifyLastLine="0" shrinkToFit="0" readingOrder="0"/>
      <border diagonalUp="0" diagonalDown="0" outline="0">
        <left style="thin">
          <color theme="4" tint="0.39997558519241921"/>
        </left>
        <right/>
        <top/>
        <bottom/>
      </border>
    </dxf>
    <dxf>
      <fill>
        <patternFill patternType="none">
          <fgColor indexed="64"/>
          <bgColor indexed="65"/>
        </patternFill>
      </fill>
      <alignment horizontal="center" vertical="bottom" textRotation="0" wrapText="0" indent="0" justifyLastLine="0" shrinkToFit="0" readingOrder="0"/>
      <border diagonalUp="0" diagonalDown="0" outline="0">
        <left style="thin">
          <color theme="4" tint="0.39997558519241921"/>
        </left>
        <right/>
        <top/>
        <bottom style="thin">
          <color theme="4" tint="0.39997558519241921"/>
        </bottom>
      </border>
    </dxf>
    <dxf>
      <fill>
        <patternFill patternType="none">
          <fgColor indexed="64"/>
          <bgColor indexed="65"/>
        </patternFill>
      </fill>
      <alignment horizontal="center" vertical="bottom" textRotation="0" wrapText="0" indent="0" justifyLastLine="0" shrinkToFit="0" readingOrder="0"/>
    </dxf>
    <dxf>
      <border outline="0">
        <bottom style="thin">
          <color theme="4" tint="0.39997558519241921"/>
        </bottom>
      </border>
    </dxf>
    <dxf>
      <border outline="0">
        <top style="thin">
          <color theme="4" tint="0.39997558519241921"/>
        </top>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relative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e3" displayName="Table3" ref="A2:S37" totalsRowShown="0" headerRowDxfId="34" dataDxfId="33" headerRowBorderDxfId="31" tableBorderDxfId="32">
  <autoFilter ref="A2:S37"/>
  <sortState ref="A3:S26">
    <sortCondition ref="C2:C26"/>
  </sortState>
  <tableColumns count="19">
    <tableColumn id="1" name="Sıra              " dataDxfId="29" totalsRowDxfId="30"/>
    <tableColumn id="2" name="Şirket Adı" dataDxfId="27" totalsRowDxfId="28"/>
    <tableColumn id="6" name="İzahname Onay_x000a_Kurul Karar Tarihi" dataDxfId="25" totalsRowDxfId="26"/>
    <tableColumn id="19" name="Halka Arz Tarihi_x000a_" totalsRowDxfId="24"/>
    <tableColumn id="18" name="Borsada İşlem Görme Tarihi" totalsRowDxfId="23"/>
    <tableColumn id="20" name="Halka Arza Aracılık Eden Yetkili Kuruluş" dataDxfId="21" totalsRowDxfId="22"/>
    <tableColumn id="21" name="İşlem Gördüğü Pazar" dataDxfId="19" totalsRowDxfId="20"/>
    <tableColumn id="9" name="Toplanan Fon Miktarı (TL)*" dataDxfId="17" totalsRowDxfId="18"/>
    <tableColumn id="10" name="Toplanan Fon Miktarı (USD)" dataDxfId="15" totalsRowDxfId="16"/>
    <tableColumn id="7" name="Mevcut Sermaye (TL)" totalsRowDxfId="0"/>
    <tableColumn id="4" name="Halka Arz Sonrası Sermaye (TL)" totalsRowDxfId="14"/>
    <tableColumn id="3" name="Halka Arz Edilen Pay (Nominal TL)" dataDxfId="12" totalsRowDxfId="13">
      <calculatedColumnFormula>Table3[[#This Row],[Nominal Sermaye Artış Tutarı (TL)]]+Table3[[#This Row],[Nominal Ortak Satış Tutarı (TL)]]+#REF!</calculatedColumnFormula>
    </tableColumn>
    <tableColumn id="11" name="Nominal Sermaye Artış Tutarı (TL)" dataDxfId="10" totalsRowDxfId="11"/>
    <tableColumn id="12" name="Nominal Ortak Satış Tutarı (TL)" dataDxfId="8" totalsRowDxfId="9"/>
    <tableColumn id="16" name="Halka Arz Fiyatı (TL)" totalsRowDxfId="7"/>
    <tableColumn id="15" name="Talep Edilen Pay (Nominal TL)" totalsRowDxfId="6"/>
    <tableColumn id="14" name="Talebin Halka Arza Oranı" dataDxfId="4" totalsRowDxfId="5">
      <calculatedColumnFormula>Table3[[#This Row],[Talep Edilen Pay (Nominal TL)]]/Table3[[#This Row],[Halka Arz Edilen Pay (Nominal TL)]]</calculatedColumnFormula>
    </tableColumn>
    <tableColumn id="5" name="Dağıtımı Yapılan Yatırımcı Sayısı" totalsRowDxfId="3"/>
    <tableColumn id="13" name="Satış Yöntemi**" dataDxfId="1" totalsRow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tabSelected="1" zoomScaleNormal="100" workbookViewId="0">
      <pane xSplit="2" ySplit="2" topLeftCell="C3" activePane="bottomRight" state="frozen"/>
      <selection pane="topRight" activeCell="C1" sqref="C1"/>
      <selection pane="bottomLeft" activeCell="A3" sqref="A3"/>
      <selection pane="bottomRight" sqref="A1:I1"/>
    </sheetView>
  </sheetViews>
  <sheetFormatPr defaultRowHeight="15" x14ac:dyDescent="0.25"/>
  <cols>
    <col min="1" max="1" width="6.42578125" customWidth="1"/>
    <col min="2" max="2" width="72" customWidth="1"/>
    <col min="3" max="3" width="14.7109375" customWidth="1"/>
    <col min="4" max="4" width="23.42578125" bestFit="1" customWidth="1"/>
    <col min="5" max="5" width="14.7109375" customWidth="1"/>
    <col min="6" max="6" width="39.5703125" customWidth="1"/>
    <col min="7" max="7" width="18.140625" customWidth="1"/>
    <col min="8" max="8" width="17.28515625" customWidth="1"/>
    <col min="9" max="12" width="17.7109375" customWidth="1"/>
    <col min="13" max="13" width="18" bestFit="1" customWidth="1"/>
    <col min="14" max="14" width="17.85546875" customWidth="1"/>
    <col min="15" max="15" width="14.5703125" customWidth="1"/>
    <col min="16" max="16" width="17.42578125" bestFit="1" customWidth="1"/>
    <col min="17" max="18" width="14.5703125" customWidth="1"/>
    <col min="19" max="19" width="32.5703125" bestFit="1" customWidth="1"/>
  </cols>
  <sheetData>
    <row r="1" spans="1:19" s="23" customFormat="1" ht="26.25" x14ac:dyDescent="0.25">
      <c r="A1" s="31" t="s">
        <v>31</v>
      </c>
      <c r="B1" s="31"/>
      <c r="C1" s="31"/>
      <c r="D1" s="31"/>
      <c r="E1" s="31"/>
      <c r="F1" s="31"/>
      <c r="G1" s="31"/>
      <c r="H1" s="31"/>
      <c r="I1" s="31"/>
      <c r="J1" s="27"/>
      <c r="K1" s="24"/>
      <c r="L1" s="25"/>
    </row>
    <row r="2" spans="1:19" ht="45" x14ac:dyDescent="0.25">
      <c r="A2" s="22" t="s">
        <v>12</v>
      </c>
      <c r="B2" s="22" t="s">
        <v>11</v>
      </c>
      <c r="C2" s="20" t="s">
        <v>10</v>
      </c>
      <c r="D2" s="20" t="s">
        <v>13</v>
      </c>
      <c r="E2" s="20" t="s">
        <v>8</v>
      </c>
      <c r="F2" s="20" t="s">
        <v>9</v>
      </c>
      <c r="G2" s="20" t="s">
        <v>7</v>
      </c>
      <c r="H2" s="21" t="s">
        <v>6</v>
      </c>
      <c r="I2" s="21" t="s">
        <v>15</v>
      </c>
      <c r="J2" s="21" t="s">
        <v>114</v>
      </c>
      <c r="K2" s="21" t="s">
        <v>16</v>
      </c>
      <c r="L2" s="21" t="s">
        <v>26</v>
      </c>
      <c r="M2" s="20" t="s">
        <v>5</v>
      </c>
      <c r="N2" s="20" t="s">
        <v>4</v>
      </c>
      <c r="O2" s="20" t="s">
        <v>21</v>
      </c>
      <c r="P2" s="20" t="s">
        <v>17</v>
      </c>
      <c r="Q2" s="20" t="s">
        <v>18</v>
      </c>
      <c r="R2" s="20" t="s">
        <v>19</v>
      </c>
      <c r="S2" s="20" t="s">
        <v>20</v>
      </c>
    </row>
    <row r="3" spans="1:19" s="1" customFormat="1" ht="15" customHeight="1" x14ac:dyDescent="0.25">
      <c r="A3" s="13">
        <v>1</v>
      </c>
      <c r="B3" s="16" t="s">
        <v>32</v>
      </c>
      <c r="C3" s="11">
        <v>44210</v>
      </c>
      <c r="D3" s="19" t="s">
        <v>113</v>
      </c>
      <c r="E3" s="14">
        <v>44224</v>
      </c>
      <c r="F3" s="19" t="s">
        <v>91</v>
      </c>
      <c r="G3" s="19" t="s">
        <v>1</v>
      </c>
      <c r="H3" s="28">
        <f>L3*O3</f>
        <v>181709317.30000001</v>
      </c>
      <c r="I3" s="28">
        <v>24560291.586132325</v>
      </c>
      <c r="J3" s="28">
        <v>43741000</v>
      </c>
      <c r="K3" s="28">
        <f>J3+M3</f>
        <v>51802638</v>
      </c>
      <c r="L3" s="28">
        <f>M3+N3</f>
        <v>11286293</v>
      </c>
      <c r="M3" s="37">
        <v>8061638</v>
      </c>
      <c r="N3" s="37">
        <v>3224655</v>
      </c>
      <c r="O3" s="17">
        <v>16.100000000000001</v>
      </c>
      <c r="P3" s="28">
        <v>160411855</v>
      </c>
      <c r="Q3" s="17">
        <f>Table3[[#This Row],[Talep Edilen Pay (Nominal TL)]]/Table3[[#This Row],[Halka Arz Edilen Pay (Nominal TL)]]</f>
        <v>14.21297985086866</v>
      </c>
      <c r="R3" s="28">
        <v>401153</v>
      </c>
      <c r="S3" s="17" t="s">
        <v>27</v>
      </c>
    </row>
    <row r="4" spans="1:19" s="1" customFormat="1" ht="15" customHeight="1" x14ac:dyDescent="0.25">
      <c r="A4" s="13">
        <v>2</v>
      </c>
      <c r="B4" s="16" t="s">
        <v>33</v>
      </c>
      <c r="C4" s="33">
        <v>44245</v>
      </c>
      <c r="D4" s="19" t="s">
        <v>63</v>
      </c>
      <c r="E4" s="14">
        <v>44260</v>
      </c>
      <c r="F4" s="32" t="s">
        <v>23</v>
      </c>
      <c r="G4" s="32" t="s">
        <v>25</v>
      </c>
      <c r="H4" s="28">
        <f t="shared" ref="H4:H34" si="0">L4*O4</f>
        <v>234500000</v>
      </c>
      <c r="I4" s="36">
        <v>31814728.387691975</v>
      </c>
      <c r="J4" s="36">
        <v>67000000</v>
      </c>
      <c r="K4" s="28">
        <f>J4+M4</f>
        <v>77050000</v>
      </c>
      <c r="L4" s="28">
        <f>M4+N4</f>
        <v>23450000</v>
      </c>
      <c r="M4" s="38">
        <v>10050000</v>
      </c>
      <c r="N4" s="38">
        <v>13400000</v>
      </c>
      <c r="O4" s="17">
        <v>10</v>
      </c>
      <c r="P4" s="28">
        <v>1451243670</v>
      </c>
      <c r="Q4" s="17">
        <f>Table3[[#This Row],[Talep Edilen Pay (Nominal TL)]]/Table3[[#This Row],[Halka Arz Edilen Pay (Nominal TL)]]</f>
        <v>61.886723667377396</v>
      </c>
      <c r="R4" s="28">
        <v>122924</v>
      </c>
      <c r="S4" s="34" t="s">
        <v>28</v>
      </c>
    </row>
    <row r="5" spans="1:19" s="1" customFormat="1" ht="15" customHeight="1" x14ac:dyDescent="0.25">
      <c r="A5" s="13">
        <v>3</v>
      </c>
      <c r="B5" s="16" t="s">
        <v>34</v>
      </c>
      <c r="C5" s="33">
        <v>44273</v>
      </c>
      <c r="D5" s="19" t="s">
        <v>64</v>
      </c>
      <c r="E5" s="14">
        <v>44287</v>
      </c>
      <c r="F5" s="32" t="s">
        <v>92</v>
      </c>
      <c r="G5" s="32" t="s">
        <v>25</v>
      </c>
      <c r="H5" s="28">
        <f t="shared" si="0"/>
        <v>293250000</v>
      </c>
      <c r="I5" s="36">
        <v>36705343.396793209</v>
      </c>
      <c r="J5" s="36">
        <v>100018594</v>
      </c>
      <c r="K5" s="28">
        <f>J5+M5</f>
        <v>115000000</v>
      </c>
      <c r="L5" s="28">
        <f t="shared" ref="L5:L34" si="1">M5+N5</f>
        <v>34500000</v>
      </c>
      <c r="M5" s="38">
        <v>14981406</v>
      </c>
      <c r="N5" s="38">
        <v>19518594</v>
      </c>
      <c r="O5" s="17">
        <v>8.5</v>
      </c>
      <c r="P5" s="28">
        <v>1867996466</v>
      </c>
      <c r="Q5" s="17">
        <f>Table3[[#This Row],[Talep Edilen Pay (Nominal TL)]]/Table3[[#This Row],[Halka Arz Edilen Pay (Nominal TL)]]</f>
        <v>54.144825101449278</v>
      </c>
      <c r="R5" s="28">
        <v>268570</v>
      </c>
      <c r="S5" s="34" t="s">
        <v>28</v>
      </c>
    </row>
    <row r="6" spans="1:19" s="1" customFormat="1" ht="15" customHeight="1" x14ac:dyDescent="0.25">
      <c r="A6" s="13">
        <v>4</v>
      </c>
      <c r="B6" s="16" t="s">
        <v>35</v>
      </c>
      <c r="C6" s="33">
        <v>44280</v>
      </c>
      <c r="D6" s="19" t="s">
        <v>65</v>
      </c>
      <c r="E6" s="14">
        <v>44292</v>
      </c>
      <c r="F6" s="32" t="s">
        <v>93</v>
      </c>
      <c r="G6" s="32" t="s">
        <v>25</v>
      </c>
      <c r="H6" s="28">
        <f t="shared" si="0"/>
        <v>207759440</v>
      </c>
      <c r="I6" s="36">
        <v>24953690.936606694</v>
      </c>
      <c r="J6" s="36">
        <v>19500000</v>
      </c>
      <c r="K6" s="28">
        <f>J6+M6</f>
        <v>19500000</v>
      </c>
      <c r="L6" s="28">
        <f t="shared" si="1"/>
        <v>7419980</v>
      </c>
      <c r="M6" s="38"/>
      <c r="N6" s="38">
        <v>7419980</v>
      </c>
      <c r="O6" s="17">
        <v>28</v>
      </c>
      <c r="P6" s="28">
        <v>65060523</v>
      </c>
      <c r="Q6" s="17">
        <f>Table3[[#This Row],[Talep Edilen Pay (Nominal TL)]]/Table3[[#This Row],[Halka Arz Edilen Pay (Nominal TL)]]</f>
        <v>8.7682881894560367</v>
      </c>
      <c r="R6" s="28">
        <v>689426</v>
      </c>
      <c r="S6" s="34" t="s">
        <v>27</v>
      </c>
    </row>
    <row r="7" spans="1:19" s="1" customFormat="1" ht="15" customHeight="1" x14ac:dyDescent="0.25">
      <c r="A7" s="13">
        <v>5</v>
      </c>
      <c r="B7" s="16" t="s">
        <v>36</v>
      </c>
      <c r="C7" s="33">
        <v>44280</v>
      </c>
      <c r="D7" s="19" t="s">
        <v>66</v>
      </c>
      <c r="E7" s="14">
        <v>44294</v>
      </c>
      <c r="F7" s="32" t="s">
        <v>23</v>
      </c>
      <c r="G7" s="32" t="s">
        <v>1</v>
      </c>
      <c r="H7" s="28">
        <f t="shared" si="0"/>
        <v>270000000</v>
      </c>
      <c r="I7" s="36">
        <v>33597969.189417891</v>
      </c>
      <c r="J7" s="36">
        <v>100000000</v>
      </c>
      <c r="K7" s="28">
        <f>J7+M7</f>
        <v>108000000</v>
      </c>
      <c r="L7" s="28">
        <f t="shared" si="1"/>
        <v>22500000</v>
      </c>
      <c r="M7" s="38">
        <v>8000000</v>
      </c>
      <c r="N7" s="38">
        <v>14500000</v>
      </c>
      <c r="O7" s="17">
        <v>12</v>
      </c>
      <c r="P7" s="28">
        <v>136945618</v>
      </c>
      <c r="Q7" s="17">
        <f>Table3[[#This Row],[Talep Edilen Pay (Nominal TL)]]/Table3[[#This Row],[Halka Arz Edilen Pay (Nominal TL)]]</f>
        <v>6.0864719111111114</v>
      </c>
      <c r="R7" s="28">
        <v>772538</v>
      </c>
      <c r="S7" s="34" t="s">
        <v>27</v>
      </c>
    </row>
    <row r="8" spans="1:19" s="1" customFormat="1" ht="15" customHeight="1" x14ac:dyDescent="0.25">
      <c r="A8" s="13">
        <v>6</v>
      </c>
      <c r="B8" s="16" t="s">
        <v>37</v>
      </c>
      <c r="C8" s="33">
        <v>44280</v>
      </c>
      <c r="D8" s="19" t="s">
        <v>67</v>
      </c>
      <c r="E8" s="14">
        <v>44295</v>
      </c>
      <c r="F8" s="32" t="s">
        <v>22</v>
      </c>
      <c r="G8" s="32" t="s">
        <v>25</v>
      </c>
      <c r="H8" s="28">
        <f t="shared" si="0"/>
        <v>395040000</v>
      </c>
      <c r="I8" s="36">
        <v>48506280.62032637</v>
      </c>
      <c r="J8" s="36">
        <v>105000000</v>
      </c>
      <c r="K8" s="28">
        <f>J8+M8</f>
        <v>120000000</v>
      </c>
      <c r="L8" s="28">
        <f t="shared" si="1"/>
        <v>24000000</v>
      </c>
      <c r="M8" s="38">
        <v>15000000</v>
      </c>
      <c r="N8" s="38">
        <v>9000000</v>
      </c>
      <c r="O8" s="17">
        <v>16.46</v>
      </c>
      <c r="P8" s="28">
        <v>139132288</v>
      </c>
      <c r="Q8" s="17">
        <f>Table3[[#This Row],[Talep Edilen Pay (Nominal TL)]]/Table3[[#This Row],[Halka Arz Edilen Pay (Nominal TL)]]</f>
        <v>5.7971786666666665</v>
      </c>
      <c r="R8" s="28">
        <v>846353</v>
      </c>
      <c r="S8" s="34" t="s">
        <v>27</v>
      </c>
    </row>
    <row r="9" spans="1:19" s="1" customFormat="1" ht="15" customHeight="1" x14ac:dyDescent="0.25">
      <c r="A9" s="13">
        <v>7</v>
      </c>
      <c r="B9" s="16" t="s">
        <v>38</v>
      </c>
      <c r="C9" s="33">
        <v>44294</v>
      </c>
      <c r="D9" s="19" t="s">
        <v>68</v>
      </c>
      <c r="E9" s="14">
        <v>44308</v>
      </c>
      <c r="F9" s="32" t="s">
        <v>91</v>
      </c>
      <c r="G9" s="32" t="s">
        <v>25</v>
      </c>
      <c r="H9" s="28">
        <f t="shared" si="0"/>
        <v>811813446.39999998</v>
      </c>
      <c r="I9" s="36">
        <v>100753772.4824385</v>
      </c>
      <c r="J9" s="36">
        <v>534791457.64999998</v>
      </c>
      <c r="K9" s="28">
        <f>J9+M9</f>
        <v>534791457.64999998</v>
      </c>
      <c r="L9" s="28">
        <f t="shared" si="1"/>
        <v>160437440</v>
      </c>
      <c r="M9" s="38"/>
      <c r="N9" s="38">
        <v>160437440</v>
      </c>
      <c r="O9" s="17">
        <v>5.0599999999999996</v>
      </c>
      <c r="P9" s="28">
        <v>1068848220</v>
      </c>
      <c r="Q9" s="17">
        <f>Table3[[#This Row],[Talep Edilen Pay (Nominal TL)]]/Table3[[#This Row],[Halka Arz Edilen Pay (Nominal TL)]]</f>
        <v>6.6620872285172341</v>
      </c>
      <c r="R9" s="28">
        <v>810216</v>
      </c>
      <c r="S9" s="34" t="s">
        <v>28</v>
      </c>
    </row>
    <row r="10" spans="1:19" s="1" customFormat="1" ht="15" customHeight="1" x14ac:dyDescent="0.25">
      <c r="A10" s="13">
        <v>8</v>
      </c>
      <c r="B10" s="16" t="s">
        <v>39</v>
      </c>
      <c r="C10" s="33">
        <v>44301</v>
      </c>
      <c r="D10" s="19" t="s">
        <v>69</v>
      </c>
      <c r="E10" s="14">
        <v>44314</v>
      </c>
      <c r="F10" s="32" t="s">
        <v>94</v>
      </c>
      <c r="G10" s="32" t="s">
        <v>25</v>
      </c>
      <c r="H10" s="28">
        <f t="shared" si="0"/>
        <v>749999988</v>
      </c>
      <c r="I10" s="36">
        <v>92100252.723097518</v>
      </c>
      <c r="J10" s="36">
        <v>128000000</v>
      </c>
      <c r="K10" s="28">
        <f t="shared" ref="K9:K12" si="2">J10+M10</f>
        <v>150000000</v>
      </c>
      <c r="L10" s="28">
        <f t="shared" si="1"/>
        <v>41666666</v>
      </c>
      <c r="M10" s="38">
        <v>22000000</v>
      </c>
      <c r="N10" s="38">
        <v>19666666</v>
      </c>
      <c r="O10" s="17">
        <v>18</v>
      </c>
      <c r="P10" s="28">
        <v>744076378</v>
      </c>
      <c r="Q10" s="17">
        <f>Table3[[#This Row],[Talep Edilen Pay (Nominal TL)]]/Table3[[#This Row],[Halka Arz Edilen Pay (Nominal TL)]]</f>
        <v>17.857833357725333</v>
      </c>
      <c r="R10" s="28">
        <v>252834</v>
      </c>
      <c r="S10" s="34" t="s">
        <v>29</v>
      </c>
    </row>
    <row r="11" spans="1:19" s="1" customFormat="1" ht="15" customHeight="1" x14ac:dyDescent="0.25">
      <c r="A11" s="13">
        <v>9</v>
      </c>
      <c r="B11" s="16" t="s">
        <v>40</v>
      </c>
      <c r="C11" s="33">
        <v>44294</v>
      </c>
      <c r="D11" s="19" t="s">
        <v>70</v>
      </c>
      <c r="E11" s="14">
        <v>44315</v>
      </c>
      <c r="F11" s="35" t="s">
        <v>95</v>
      </c>
      <c r="G11" s="32" t="s">
        <v>25</v>
      </c>
      <c r="H11" s="28">
        <f t="shared" si="0"/>
        <v>1287000000</v>
      </c>
      <c r="I11" s="36">
        <v>155634024.23392266</v>
      </c>
      <c r="J11" s="36">
        <v>700000000</v>
      </c>
      <c r="K11" s="28">
        <f t="shared" si="2"/>
        <v>705000000</v>
      </c>
      <c r="L11" s="28">
        <f t="shared" si="1"/>
        <v>130000000</v>
      </c>
      <c r="M11" s="38">
        <v>5000000</v>
      </c>
      <c r="N11" s="38">
        <v>125000000</v>
      </c>
      <c r="O11" s="17">
        <v>9.9</v>
      </c>
      <c r="P11" s="28">
        <v>586426281</v>
      </c>
      <c r="Q11" s="17">
        <f>Table3[[#This Row],[Talep Edilen Pay (Nominal TL)]]/Table3[[#This Row],[Halka Arz Edilen Pay (Nominal TL)]]</f>
        <v>4.5109713923076926</v>
      </c>
      <c r="R11" s="28">
        <v>325182</v>
      </c>
      <c r="S11" s="34" t="s">
        <v>29</v>
      </c>
    </row>
    <row r="12" spans="1:19" s="1" customFormat="1" ht="15" customHeight="1" x14ac:dyDescent="0.25">
      <c r="A12" s="13">
        <v>10</v>
      </c>
      <c r="B12" s="16" t="s">
        <v>41</v>
      </c>
      <c r="C12" s="33">
        <v>44301</v>
      </c>
      <c r="D12" s="19" t="s">
        <v>71</v>
      </c>
      <c r="E12" s="14">
        <v>44316</v>
      </c>
      <c r="F12" s="35" t="s">
        <v>96</v>
      </c>
      <c r="G12" s="32" t="s">
        <v>25</v>
      </c>
      <c r="H12" s="28">
        <f t="shared" si="0"/>
        <v>289961100</v>
      </c>
      <c r="I12" s="36">
        <v>35064345.659902774</v>
      </c>
      <c r="J12" s="36">
        <v>252410000</v>
      </c>
      <c r="K12" s="28">
        <f t="shared" si="2"/>
        <v>320000000</v>
      </c>
      <c r="L12" s="28">
        <f t="shared" si="1"/>
        <v>74349000</v>
      </c>
      <c r="M12" s="38">
        <v>67590000</v>
      </c>
      <c r="N12" s="38">
        <v>6759000</v>
      </c>
      <c r="O12" s="17">
        <v>3.9</v>
      </c>
      <c r="P12" s="28">
        <v>271219686</v>
      </c>
      <c r="Q12" s="17">
        <f>Table3[[#This Row],[Talep Edilen Pay (Nominal TL)]]/Table3[[#This Row],[Halka Arz Edilen Pay (Nominal TL)]]</f>
        <v>3.6479264818625672</v>
      </c>
      <c r="R12" s="28">
        <v>487079</v>
      </c>
      <c r="S12" s="34" t="s">
        <v>28</v>
      </c>
    </row>
    <row r="13" spans="1:19" s="1" customFormat="1" ht="15" customHeight="1" x14ac:dyDescent="0.25">
      <c r="A13" s="13">
        <v>11</v>
      </c>
      <c r="B13" s="16" t="s">
        <v>42</v>
      </c>
      <c r="C13" s="33">
        <v>44308</v>
      </c>
      <c r="D13" s="19" t="s">
        <v>72</v>
      </c>
      <c r="E13" s="14">
        <v>44322</v>
      </c>
      <c r="F13" s="32" t="s">
        <v>97</v>
      </c>
      <c r="G13" s="32" t="s">
        <v>25</v>
      </c>
      <c r="H13" s="28">
        <f t="shared" si="0"/>
        <v>1877448000</v>
      </c>
      <c r="I13" s="36">
        <v>228091992.5647848</v>
      </c>
      <c r="J13" s="36">
        <v>3520215000</v>
      </c>
      <c r="K13" s="28">
        <f>J13+M13</f>
        <v>4693620000</v>
      </c>
      <c r="L13" s="28">
        <f t="shared" si="1"/>
        <v>1173405000</v>
      </c>
      <c r="M13" s="38">
        <v>1173405000</v>
      </c>
      <c r="N13" s="38"/>
      <c r="O13" s="17">
        <v>1.6</v>
      </c>
      <c r="P13" s="28">
        <v>3125194547</v>
      </c>
      <c r="Q13" s="17">
        <f>Table3[[#This Row],[Talep Edilen Pay (Nominal TL)]]/Table3[[#This Row],[Halka Arz Edilen Pay (Nominal TL)]]</f>
        <v>2.6633554032921283</v>
      </c>
      <c r="R13" s="28">
        <v>267705</v>
      </c>
      <c r="S13" s="34" t="s">
        <v>28</v>
      </c>
    </row>
    <row r="14" spans="1:19" s="1" customFormat="1" ht="15" customHeight="1" x14ac:dyDescent="0.25">
      <c r="A14" s="13">
        <v>12</v>
      </c>
      <c r="B14" s="16" t="s">
        <v>43</v>
      </c>
      <c r="C14" s="33">
        <v>44315</v>
      </c>
      <c r="D14" s="19" t="s">
        <v>73</v>
      </c>
      <c r="E14" s="14">
        <v>44333</v>
      </c>
      <c r="F14" s="32" t="s">
        <v>98</v>
      </c>
      <c r="G14" s="32" t="s">
        <v>25</v>
      </c>
      <c r="H14" s="28">
        <f t="shared" si="0"/>
        <v>588120064</v>
      </c>
      <c r="I14" s="36">
        <v>71089092.711229309</v>
      </c>
      <c r="J14" s="36">
        <v>31724000</v>
      </c>
      <c r="K14" s="28">
        <f>J14+M14</f>
        <v>43724000</v>
      </c>
      <c r="L14" s="28">
        <f t="shared" si="1"/>
        <v>18378752</v>
      </c>
      <c r="M14" s="38">
        <v>12000000</v>
      </c>
      <c r="N14" s="38">
        <v>6378752</v>
      </c>
      <c r="O14" s="17">
        <v>32</v>
      </c>
      <c r="P14" s="28">
        <v>19354152</v>
      </c>
      <c r="Q14" s="17">
        <f>Table3[[#This Row],[Talep Edilen Pay (Nominal TL)]]/Table3[[#This Row],[Halka Arz Edilen Pay (Nominal TL)]]</f>
        <v>1.0530721563683976</v>
      </c>
      <c r="R14" s="28">
        <v>94564</v>
      </c>
      <c r="S14" s="34" t="s">
        <v>28</v>
      </c>
    </row>
    <row r="15" spans="1:19" s="1" customFormat="1" ht="15" customHeight="1" x14ac:dyDescent="0.25">
      <c r="A15" s="13">
        <v>13</v>
      </c>
      <c r="B15" s="16" t="s">
        <v>44</v>
      </c>
      <c r="C15" s="33">
        <v>44315</v>
      </c>
      <c r="D15" s="19" t="s">
        <v>73</v>
      </c>
      <c r="E15" s="14">
        <v>44334</v>
      </c>
      <c r="F15" s="32" t="s">
        <v>99</v>
      </c>
      <c r="G15" s="32" t="s">
        <v>25</v>
      </c>
      <c r="H15" s="28">
        <f t="shared" si="0"/>
        <v>508875000</v>
      </c>
      <c r="I15" s="36">
        <v>61510334.824126683</v>
      </c>
      <c r="J15" s="36">
        <v>100000000</v>
      </c>
      <c r="K15" s="28">
        <f t="shared" ref="K14:K15" si="3">J15+M15</f>
        <v>115000000</v>
      </c>
      <c r="L15" s="28">
        <f t="shared" si="1"/>
        <v>34500000</v>
      </c>
      <c r="M15" s="38">
        <v>15000000</v>
      </c>
      <c r="N15" s="38">
        <v>19500000</v>
      </c>
      <c r="O15" s="17">
        <v>14.75</v>
      </c>
      <c r="P15" s="28">
        <v>51502411</v>
      </c>
      <c r="Q15" s="17">
        <f>Table3[[#This Row],[Talep Edilen Pay (Nominal TL)]]/Table3[[#This Row],[Halka Arz Edilen Pay (Nominal TL)]]</f>
        <v>1.4928235072463769</v>
      </c>
      <c r="R15" s="28">
        <v>302273</v>
      </c>
      <c r="S15" s="34" t="s">
        <v>29</v>
      </c>
    </row>
    <row r="16" spans="1:19" s="1" customFormat="1" ht="15" customHeight="1" x14ac:dyDescent="0.25">
      <c r="A16" s="13">
        <v>14</v>
      </c>
      <c r="B16" s="16" t="s">
        <v>45</v>
      </c>
      <c r="C16" s="33">
        <v>44322</v>
      </c>
      <c r="D16" s="19" t="s">
        <v>74</v>
      </c>
      <c r="E16" s="14">
        <v>44343</v>
      </c>
      <c r="F16" s="32" t="s">
        <v>100</v>
      </c>
      <c r="G16" s="32" t="s">
        <v>1</v>
      </c>
      <c r="H16" s="28">
        <f t="shared" si="0"/>
        <v>162606011.42000002</v>
      </c>
      <c r="I16" s="36">
        <v>19461188.144194178</v>
      </c>
      <c r="J16" s="36">
        <v>45000000</v>
      </c>
      <c r="K16" s="28">
        <f>J16+M16</f>
        <v>63456982</v>
      </c>
      <c r="L16" s="28">
        <f t="shared" si="1"/>
        <v>18456982</v>
      </c>
      <c r="M16" s="38">
        <v>18456982</v>
      </c>
      <c r="N16" s="38"/>
      <c r="O16" s="17">
        <v>8.81</v>
      </c>
      <c r="P16" s="28">
        <v>23458158</v>
      </c>
      <c r="Q16" s="17">
        <f>Table3[[#This Row],[Talep Edilen Pay (Nominal TL)]]/Table3[[#This Row],[Halka Arz Edilen Pay (Nominal TL)]]</f>
        <v>1.2709639094842267</v>
      </c>
      <c r="R16" s="28">
        <v>69369</v>
      </c>
      <c r="S16" s="34" t="s">
        <v>109</v>
      </c>
    </row>
    <row r="17" spans="1:19" s="1" customFormat="1" ht="15" customHeight="1" x14ac:dyDescent="0.25">
      <c r="A17" s="13">
        <v>15</v>
      </c>
      <c r="B17" s="16" t="s">
        <v>46</v>
      </c>
      <c r="C17" s="33">
        <v>44336</v>
      </c>
      <c r="D17" s="19" t="s">
        <v>75</v>
      </c>
      <c r="E17" s="14">
        <v>44351</v>
      </c>
      <c r="F17" s="32" t="s">
        <v>98</v>
      </c>
      <c r="G17" s="32" t="s">
        <v>1</v>
      </c>
      <c r="H17" s="28">
        <f t="shared" si="0"/>
        <v>180000000</v>
      </c>
      <c r="I17" s="36">
        <v>21053616.543464024</v>
      </c>
      <c r="J17" s="36">
        <v>30000000</v>
      </c>
      <c r="K17" s="28">
        <f>J17+M17</f>
        <v>37500000</v>
      </c>
      <c r="L17" s="28">
        <f t="shared" si="1"/>
        <v>7500000</v>
      </c>
      <c r="M17" s="38">
        <v>7500000</v>
      </c>
      <c r="N17" s="38"/>
      <c r="O17" s="17">
        <v>24</v>
      </c>
      <c r="P17" s="28">
        <v>12024403</v>
      </c>
      <c r="Q17" s="17">
        <f>Table3[[#This Row],[Talep Edilen Pay (Nominal TL)]]/Table3[[#This Row],[Halka Arz Edilen Pay (Nominal TL)]]</f>
        <v>1.6032537333333334</v>
      </c>
      <c r="R17" s="28">
        <v>37233</v>
      </c>
      <c r="S17" s="34" t="s">
        <v>28</v>
      </c>
    </row>
    <row r="18" spans="1:19" s="1" customFormat="1" ht="15" customHeight="1" x14ac:dyDescent="0.25">
      <c r="A18" s="13">
        <v>16</v>
      </c>
      <c r="B18" s="16" t="s">
        <v>47</v>
      </c>
      <c r="C18" s="33">
        <v>44336</v>
      </c>
      <c r="D18" s="19" t="s">
        <v>76</v>
      </c>
      <c r="E18" s="14">
        <v>44350</v>
      </c>
      <c r="F18" s="32" t="s">
        <v>101</v>
      </c>
      <c r="G18" s="32" t="s">
        <v>25</v>
      </c>
      <c r="H18" s="28">
        <f t="shared" si="0"/>
        <v>399000000</v>
      </c>
      <c r="I18" s="36">
        <v>46668850.004678585</v>
      </c>
      <c r="J18" s="36">
        <v>280000000</v>
      </c>
      <c r="K18" s="28">
        <f>J18+M18</f>
        <v>380000000</v>
      </c>
      <c r="L18" s="28">
        <f t="shared" si="1"/>
        <v>114000000</v>
      </c>
      <c r="M18" s="38">
        <v>100000000</v>
      </c>
      <c r="N18" s="38">
        <v>14000000</v>
      </c>
      <c r="O18" s="17">
        <v>3.5</v>
      </c>
      <c r="P18" s="28">
        <v>158679399</v>
      </c>
      <c r="Q18" s="17">
        <f>Table3[[#This Row],[Talep Edilen Pay (Nominal TL)]]/Table3[[#This Row],[Halka Arz Edilen Pay (Nominal TL)]]</f>
        <v>1.3919245526315789</v>
      </c>
      <c r="R18" s="28">
        <v>42380</v>
      </c>
      <c r="S18" s="34" t="s">
        <v>28</v>
      </c>
    </row>
    <row r="19" spans="1:19" s="1" customFormat="1" ht="15" customHeight="1" x14ac:dyDescent="0.25">
      <c r="A19" s="13">
        <v>17</v>
      </c>
      <c r="B19" s="16" t="s">
        <v>48</v>
      </c>
      <c r="C19" s="33">
        <v>44343</v>
      </c>
      <c r="D19" s="19" t="s">
        <v>77</v>
      </c>
      <c r="E19" s="14">
        <v>44354</v>
      </c>
      <c r="F19" s="32" t="s">
        <v>24</v>
      </c>
      <c r="G19" s="32" t="s">
        <v>25</v>
      </c>
      <c r="H19" s="28">
        <f t="shared" si="0"/>
        <v>314177762.10000002</v>
      </c>
      <c r="I19" s="36">
        <v>36948179.755856626</v>
      </c>
      <c r="J19" s="36">
        <v>137730842</v>
      </c>
      <c r="K19" s="28">
        <f>J19+M19</f>
        <v>175000000</v>
      </c>
      <c r="L19" s="28">
        <f t="shared" si="1"/>
        <v>45533009</v>
      </c>
      <c r="M19" s="38">
        <v>37269158</v>
      </c>
      <c r="N19" s="38">
        <v>8263851</v>
      </c>
      <c r="O19" s="17">
        <v>6.9</v>
      </c>
      <c r="P19" s="28">
        <v>53083351</v>
      </c>
      <c r="Q19" s="17">
        <f>Table3[[#This Row],[Talep Edilen Pay (Nominal TL)]]/Table3[[#This Row],[Halka Arz Edilen Pay (Nominal TL)]]</f>
        <v>1.1658212836318373</v>
      </c>
      <c r="R19" s="28">
        <v>20792</v>
      </c>
      <c r="S19" s="34" t="s">
        <v>28</v>
      </c>
    </row>
    <row r="20" spans="1:19" s="1" customFormat="1" ht="15" customHeight="1" x14ac:dyDescent="0.25">
      <c r="A20" s="13">
        <v>18</v>
      </c>
      <c r="B20" s="16" t="s">
        <v>49</v>
      </c>
      <c r="C20" s="33">
        <v>44343</v>
      </c>
      <c r="D20" s="19" t="s">
        <v>77</v>
      </c>
      <c r="E20" s="14">
        <v>44355</v>
      </c>
      <c r="F20" s="32" t="s">
        <v>102</v>
      </c>
      <c r="G20" s="32" t="s">
        <v>1</v>
      </c>
      <c r="H20" s="28">
        <f t="shared" si="0"/>
        <v>75485000</v>
      </c>
      <c r="I20" s="36">
        <v>8877246.2131903283</v>
      </c>
      <c r="J20" s="36">
        <v>20010000</v>
      </c>
      <c r="K20" s="28">
        <f>J20+M20</f>
        <v>32210000</v>
      </c>
      <c r="L20" s="28">
        <f t="shared" si="1"/>
        <v>15500000</v>
      </c>
      <c r="M20" s="38">
        <v>12200000</v>
      </c>
      <c r="N20" s="38">
        <v>3300000</v>
      </c>
      <c r="O20" s="17">
        <v>4.87</v>
      </c>
      <c r="P20" s="28">
        <v>27512344</v>
      </c>
      <c r="Q20" s="17">
        <f>Table3[[#This Row],[Talep Edilen Pay (Nominal TL)]]/Table3[[#This Row],[Halka Arz Edilen Pay (Nominal TL)]]</f>
        <v>1.774989935483871</v>
      </c>
      <c r="R20" s="28">
        <v>27059</v>
      </c>
      <c r="S20" s="34" t="s">
        <v>110</v>
      </c>
    </row>
    <row r="21" spans="1:19" s="1" customFormat="1" ht="15" customHeight="1" x14ac:dyDescent="0.25">
      <c r="A21" s="13">
        <v>19</v>
      </c>
      <c r="B21" s="16" t="s">
        <v>23</v>
      </c>
      <c r="C21" s="33">
        <v>44343</v>
      </c>
      <c r="D21" s="19" t="s">
        <v>78</v>
      </c>
      <c r="E21" s="14">
        <v>44357</v>
      </c>
      <c r="F21" s="32" t="s">
        <v>23</v>
      </c>
      <c r="G21" s="32" t="s">
        <v>25</v>
      </c>
      <c r="H21" s="28">
        <f t="shared" si="0"/>
        <v>525929999.99999994</v>
      </c>
      <c r="I21" s="36">
        <v>60577055.977885269</v>
      </c>
      <c r="J21" s="36">
        <v>88330000</v>
      </c>
      <c r="K21" s="28">
        <f>J21+M21</f>
        <v>94000000</v>
      </c>
      <c r="L21" s="28">
        <f t="shared" si="1"/>
        <v>28200000</v>
      </c>
      <c r="M21" s="38">
        <v>5670000</v>
      </c>
      <c r="N21" s="38">
        <v>22530000</v>
      </c>
      <c r="O21" s="17">
        <v>18.649999999999999</v>
      </c>
      <c r="P21" s="28">
        <v>58031418</v>
      </c>
      <c r="Q21" s="17">
        <f>Table3[[#This Row],[Talep Edilen Pay (Nominal TL)]]/Table3[[#This Row],[Halka Arz Edilen Pay (Nominal TL)]]</f>
        <v>2.0578517021276594</v>
      </c>
      <c r="R21" s="28">
        <v>50814</v>
      </c>
      <c r="S21" s="34" t="s">
        <v>111</v>
      </c>
    </row>
    <row r="22" spans="1:19" s="1" customFormat="1" ht="15" customHeight="1" x14ac:dyDescent="0.25">
      <c r="A22" s="13">
        <v>20</v>
      </c>
      <c r="B22" s="16" t="s">
        <v>50</v>
      </c>
      <c r="C22" s="33">
        <v>44343</v>
      </c>
      <c r="D22" s="19" t="s">
        <v>79</v>
      </c>
      <c r="E22" s="14">
        <v>44358</v>
      </c>
      <c r="F22" s="35" t="s">
        <v>103</v>
      </c>
      <c r="G22" s="32" t="s">
        <v>25</v>
      </c>
      <c r="H22" s="28">
        <f t="shared" si="0"/>
        <v>1701000000</v>
      </c>
      <c r="I22" s="36">
        <v>195922598.47961298</v>
      </c>
      <c r="J22" s="36">
        <v>700000000</v>
      </c>
      <c r="K22" s="28">
        <f>J22+M22</f>
        <v>700000000</v>
      </c>
      <c r="L22" s="28">
        <f t="shared" si="1"/>
        <v>175000000</v>
      </c>
      <c r="M22" s="38"/>
      <c r="N22" s="38">
        <v>175000000</v>
      </c>
      <c r="O22" s="17">
        <v>9.7200000000000006</v>
      </c>
      <c r="P22" s="28">
        <v>175000000</v>
      </c>
      <c r="Q22" s="17">
        <f>Table3[[#This Row],[Talep Edilen Pay (Nominal TL)]]/Table3[[#This Row],[Halka Arz Edilen Pay (Nominal TL)]]</f>
        <v>1</v>
      </c>
      <c r="R22" s="28">
        <v>50888</v>
      </c>
      <c r="S22" s="34" t="s">
        <v>28</v>
      </c>
    </row>
    <row r="23" spans="1:19" s="1" customFormat="1" ht="15" customHeight="1" x14ac:dyDescent="0.25">
      <c r="A23" s="13">
        <v>21</v>
      </c>
      <c r="B23" s="16" t="s">
        <v>51</v>
      </c>
      <c r="C23" s="33">
        <v>44357</v>
      </c>
      <c r="D23" s="19" t="s">
        <v>80</v>
      </c>
      <c r="E23" s="14">
        <v>44372</v>
      </c>
      <c r="F23" s="32" t="s">
        <v>104</v>
      </c>
      <c r="G23" s="32" t="s">
        <v>1</v>
      </c>
      <c r="H23" s="28">
        <f t="shared" si="0"/>
        <v>79560000</v>
      </c>
      <c r="I23" s="36">
        <v>9182189.5990582369</v>
      </c>
      <c r="J23" s="36">
        <v>65000000</v>
      </c>
      <c r="K23" s="28">
        <f>J23+M23</f>
        <v>78000000</v>
      </c>
      <c r="L23" s="28">
        <f t="shared" si="1"/>
        <v>26000000</v>
      </c>
      <c r="M23" s="36">
        <v>13000000</v>
      </c>
      <c r="N23" s="38">
        <v>13000000</v>
      </c>
      <c r="O23" s="17">
        <v>3.06</v>
      </c>
      <c r="P23" s="28">
        <v>54456435</v>
      </c>
      <c r="Q23" s="17">
        <f>Table3[[#This Row],[Talep Edilen Pay (Nominal TL)]]/Table3[[#This Row],[Halka Arz Edilen Pay (Nominal TL)]]</f>
        <v>2.0944782692307693</v>
      </c>
      <c r="R23" s="28">
        <v>821</v>
      </c>
      <c r="S23" s="34" t="s">
        <v>28</v>
      </c>
    </row>
    <row r="24" spans="1:19" s="1" customFormat="1" ht="15" customHeight="1" x14ac:dyDescent="0.25">
      <c r="A24" s="13">
        <v>22</v>
      </c>
      <c r="B24" s="16" t="s">
        <v>52</v>
      </c>
      <c r="C24" s="33">
        <v>44364</v>
      </c>
      <c r="D24" s="19" t="s">
        <v>81</v>
      </c>
      <c r="E24" s="14">
        <v>44379</v>
      </c>
      <c r="F24" s="32" t="s">
        <v>3</v>
      </c>
      <c r="G24" s="32" t="s">
        <v>1</v>
      </c>
      <c r="H24" s="28">
        <f t="shared" si="0"/>
        <v>196000000</v>
      </c>
      <c r="I24" s="36">
        <v>22587931.590835758</v>
      </c>
      <c r="J24" s="36">
        <v>27000000</v>
      </c>
      <c r="K24" s="28">
        <f>J24+M24</f>
        <v>34000000</v>
      </c>
      <c r="L24" s="28">
        <f t="shared" si="1"/>
        <v>7000000</v>
      </c>
      <c r="M24" s="36">
        <v>7000000</v>
      </c>
      <c r="N24" s="36"/>
      <c r="O24" s="17">
        <v>28</v>
      </c>
      <c r="P24" s="28">
        <v>72548583</v>
      </c>
      <c r="Q24" s="17">
        <f>Table3[[#This Row],[Talep Edilen Pay (Nominal TL)]]/Table3[[#This Row],[Halka Arz Edilen Pay (Nominal TL)]]</f>
        <v>10.364083285714285</v>
      </c>
      <c r="R24" s="28">
        <v>23590</v>
      </c>
      <c r="S24" s="34" t="s">
        <v>28</v>
      </c>
    </row>
    <row r="25" spans="1:19" s="1" customFormat="1" ht="15" customHeight="1" x14ac:dyDescent="0.25">
      <c r="A25" s="13">
        <v>23</v>
      </c>
      <c r="B25" s="16" t="s">
        <v>53</v>
      </c>
      <c r="C25" s="33">
        <v>44371</v>
      </c>
      <c r="D25" s="19" t="s">
        <v>82</v>
      </c>
      <c r="E25" s="14">
        <v>44382</v>
      </c>
      <c r="F25" s="32" t="s">
        <v>100</v>
      </c>
      <c r="G25" s="32" t="s">
        <v>1</v>
      </c>
      <c r="H25" s="28">
        <f t="shared" si="0"/>
        <v>78000000</v>
      </c>
      <c r="I25" s="36">
        <v>8985864.5438521709</v>
      </c>
      <c r="J25" s="36">
        <v>32000000</v>
      </c>
      <c r="K25" s="28">
        <f>J25+M25</f>
        <v>45000000</v>
      </c>
      <c r="L25" s="28">
        <f t="shared" si="1"/>
        <v>13000000</v>
      </c>
      <c r="M25" s="36">
        <v>13000000</v>
      </c>
      <c r="N25" s="36"/>
      <c r="O25" s="17">
        <v>6</v>
      </c>
      <c r="P25" s="28">
        <v>48008309</v>
      </c>
      <c r="Q25" s="17">
        <f>Table3[[#This Row],[Talep Edilen Pay (Nominal TL)]]/Table3[[#This Row],[Halka Arz Edilen Pay (Nominal TL)]]</f>
        <v>3.6929468461538462</v>
      </c>
      <c r="R25" s="28">
        <v>45105</v>
      </c>
      <c r="S25" s="34" t="s">
        <v>110</v>
      </c>
    </row>
    <row r="26" spans="1:19" s="1" customFormat="1" ht="15" customHeight="1" x14ac:dyDescent="0.25">
      <c r="A26" s="13">
        <v>24</v>
      </c>
      <c r="B26" s="16" t="s">
        <v>54</v>
      </c>
      <c r="C26" s="33">
        <v>44371</v>
      </c>
      <c r="D26" s="19" t="s">
        <v>83</v>
      </c>
      <c r="E26" s="14">
        <v>44385</v>
      </c>
      <c r="F26" s="32" t="s">
        <v>105</v>
      </c>
      <c r="G26" s="32" t="s">
        <v>1</v>
      </c>
      <c r="H26" s="28">
        <f t="shared" si="0"/>
        <v>241500000</v>
      </c>
      <c r="I26" s="36">
        <v>27823542.288327936</v>
      </c>
      <c r="J26" s="36">
        <v>46000000</v>
      </c>
      <c r="K26" s="28">
        <f>J26+M26</f>
        <v>46000000</v>
      </c>
      <c r="L26" s="28">
        <f t="shared" si="1"/>
        <v>11500000</v>
      </c>
      <c r="M26" s="36"/>
      <c r="N26" s="36">
        <v>11500000</v>
      </c>
      <c r="O26" s="17">
        <v>21</v>
      </c>
      <c r="P26" s="28">
        <v>9368780</v>
      </c>
      <c r="Q26" s="17">
        <f>Table3[[#This Row],[Talep Edilen Pay (Nominal TL)]]/Table3[[#This Row],[Halka Arz Edilen Pay (Nominal TL)]]</f>
        <v>0.81467652173913041</v>
      </c>
      <c r="R26" s="28">
        <v>19546</v>
      </c>
      <c r="S26" s="34" t="s">
        <v>110</v>
      </c>
    </row>
    <row r="27" spans="1:19" s="1" customFormat="1" ht="15" customHeight="1" x14ac:dyDescent="0.25">
      <c r="A27" s="13">
        <v>25</v>
      </c>
      <c r="B27" s="16" t="s">
        <v>55</v>
      </c>
      <c r="C27" s="33">
        <v>44371</v>
      </c>
      <c r="D27" s="19" t="s">
        <v>84</v>
      </c>
      <c r="E27" s="14">
        <v>44389</v>
      </c>
      <c r="F27" s="32" t="s">
        <v>2</v>
      </c>
      <c r="G27" s="32" t="s">
        <v>1</v>
      </c>
      <c r="H27" s="28">
        <f t="shared" si="0"/>
        <v>99840000</v>
      </c>
      <c r="I27" s="36">
        <v>11521285.066411255</v>
      </c>
      <c r="J27" s="36">
        <v>20000000</v>
      </c>
      <c r="K27" s="28">
        <f>J27+M27</f>
        <v>26000000</v>
      </c>
      <c r="L27" s="28">
        <f t="shared" si="1"/>
        <v>8000000</v>
      </c>
      <c r="M27" s="36">
        <v>6000000</v>
      </c>
      <c r="N27" s="36">
        <v>2000000</v>
      </c>
      <c r="O27" s="17">
        <v>12.48</v>
      </c>
      <c r="P27" s="28">
        <v>26791484</v>
      </c>
      <c r="Q27" s="17">
        <f>Table3[[#This Row],[Talep Edilen Pay (Nominal TL)]]/Table3[[#This Row],[Halka Arz Edilen Pay (Nominal TL)]]</f>
        <v>3.3489355000000001</v>
      </c>
      <c r="R27" s="28">
        <v>49228</v>
      </c>
      <c r="S27" s="34" t="s">
        <v>110</v>
      </c>
    </row>
    <row r="28" spans="1:19" s="1" customFormat="1" ht="15" customHeight="1" x14ac:dyDescent="0.25">
      <c r="A28" s="13">
        <v>26</v>
      </c>
      <c r="B28" s="16" t="s">
        <v>56</v>
      </c>
      <c r="C28" s="11">
        <v>44378</v>
      </c>
      <c r="D28" s="19" t="s">
        <v>85</v>
      </c>
      <c r="E28" s="14">
        <v>44390</v>
      </c>
      <c r="F28" s="19" t="s">
        <v>22</v>
      </c>
      <c r="G28" s="19" t="s">
        <v>1</v>
      </c>
      <c r="H28" s="28">
        <f t="shared" si="0"/>
        <v>165000000</v>
      </c>
      <c r="I28" s="28">
        <v>18994554.894263644</v>
      </c>
      <c r="J28" s="28">
        <v>45480000</v>
      </c>
      <c r="K28" s="28">
        <f>J28+M28</f>
        <v>54300000</v>
      </c>
      <c r="L28" s="28">
        <f t="shared" si="1"/>
        <v>11000000</v>
      </c>
      <c r="M28" s="28">
        <v>8820000</v>
      </c>
      <c r="N28" s="28">
        <v>2180000</v>
      </c>
      <c r="O28" s="17">
        <v>15</v>
      </c>
      <c r="P28" s="28">
        <v>27737600</v>
      </c>
      <c r="Q28" s="17">
        <f>Table3[[#This Row],[Talep Edilen Pay (Nominal TL)]]/Table3[[#This Row],[Halka Arz Edilen Pay (Nominal TL)]]</f>
        <v>2.5215999999999998</v>
      </c>
      <c r="R28" s="28">
        <v>29810</v>
      </c>
      <c r="S28" s="17" t="s">
        <v>110</v>
      </c>
    </row>
    <row r="29" spans="1:19" s="1" customFormat="1" ht="15" customHeight="1" x14ac:dyDescent="0.25">
      <c r="A29" s="13">
        <v>27</v>
      </c>
      <c r="B29" s="16" t="s">
        <v>57</v>
      </c>
      <c r="C29" s="11">
        <v>44378</v>
      </c>
      <c r="D29" s="19" t="s">
        <v>86</v>
      </c>
      <c r="E29" s="14">
        <v>44393</v>
      </c>
      <c r="F29" s="19" t="s">
        <v>100</v>
      </c>
      <c r="G29" s="19" t="s">
        <v>1</v>
      </c>
      <c r="H29" s="28">
        <f t="shared" si="0"/>
        <v>120000000</v>
      </c>
      <c r="I29" s="28">
        <v>13901921.940708304</v>
      </c>
      <c r="J29" s="28">
        <v>45000000</v>
      </c>
      <c r="K29" s="28">
        <f>J29+M29</f>
        <v>55000000</v>
      </c>
      <c r="L29" s="28">
        <f t="shared" si="1"/>
        <v>15000000</v>
      </c>
      <c r="M29" s="28">
        <v>10000000</v>
      </c>
      <c r="N29" s="28">
        <v>5000000</v>
      </c>
      <c r="O29" s="17">
        <v>8</v>
      </c>
      <c r="P29" s="28">
        <v>26104146</v>
      </c>
      <c r="Q29" s="17">
        <f>Table3[[#This Row],[Talep Edilen Pay (Nominal TL)]]/Table3[[#This Row],[Halka Arz Edilen Pay (Nominal TL)]]</f>
        <v>1.7402763999999999</v>
      </c>
      <c r="R29" s="28">
        <v>16209</v>
      </c>
      <c r="S29" s="17" t="s">
        <v>110</v>
      </c>
    </row>
    <row r="30" spans="1:19" s="1" customFormat="1" ht="15" customHeight="1" x14ac:dyDescent="0.25">
      <c r="A30" s="13">
        <v>28</v>
      </c>
      <c r="B30" s="15" t="s">
        <v>58</v>
      </c>
      <c r="C30" s="18">
        <v>44378</v>
      </c>
      <c r="D30" s="19" t="s">
        <v>87</v>
      </c>
      <c r="E30" s="14">
        <v>44404</v>
      </c>
      <c r="F30" s="19" t="s">
        <v>106</v>
      </c>
      <c r="G30" s="19" t="s">
        <v>1</v>
      </c>
      <c r="H30" s="28">
        <f t="shared" si="0"/>
        <v>77220000</v>
      </c>
      <c r="I30" s="28">
        <v>8966245.9505590852</v>
      </c>
      <c r="J30" s="28">
        <v>12000000</v>
      </c>
      <c r="K30" s="28">
        <f>J30+M30</f>
        <v>19800000</v>
      </c>
      <c r="L30" s="28">
        <f t="shared" si="1"/>
        <v>7800000</v>
      </c>
      <c r="M30" s="28">
        <v>7800000</v>
      </c>
      <c r="N30" s="28"/>
      <c r="O30" s="17">
        <v>9.9</v>
      </c>
      <c r="P30" s="28">
        <v>20138086</v>
      </c>
      <c r="Q30" s="17">
        <f>Table3[[#This Row],[Talep Edilen Pay (Nominal TL)]]/Table3[[#This Row],[Halka Arz Edilen Pay (Nominal TL)]]</f>
        <v>2.5818058974358973</v>
      </c>
      <c r="R30" s="28">
        <v>19450</v>
      </c>
      <c r="S30" s="17" t="s">
        <v>110</v>
      </c>
    </row>
    <row r="31" spans="1:19" s="1" customFormat="1" ht="15" customHeight="1" x14ac:dyDescent="0.25">
      <c r="A31" s="13">
        <v>29</v>
      </c>
      <c r="B31" s="16" t="s">
        <v>59</v>
      </c>
      <c r="C31" s="11">
        <v>44385</v>
      </c>
      <c r="D31" s="19" t="s">
        <v>88</v>
      </c>
      <c r="E31" s="14">
        <v>44413</v>
      </c>
      <c r="F31" s="19" t="s">
        <v>23</v>
      </c>
      <c r="G31" s="19" t="s">
        <v>25</v>
      </c>
      <c r="H31" s="28">
        <f t="shared" si="0"/>
        <v>739062500</v>
      </c>
      <c r="I31" s="28">
        <v>87838279.513661921</v>
      </c>
      <c r="J31" s="28">
        <v>250000000</v>
      </c>
      <c r="K31" s="28">
        <f>J31+M31</f>
        <v>300000000</v>
      </c>
      <c r="L31" s="28">
        <f t="shared" si="1"/>
        <v>68750000</v>
      </c>
      <c r="M31" s="28">
        <v>50000000</v>
      </c>
      <c r="N31" s="37">
        <v>18750000</v>
      </c>
      <c r="O31" s="17">
        <v>10.75</v>
      </c>
      <c r="P31" s="28">
        <v>418528945</v>
      </c>
      <c r="Q31" s="17">
        <f>Table3[[#This Row],[Talep Edilen Pay (Nominal TL)]]/Table3[[#This Row],[Halka Arz Edilen Pay (Nominal TL)]]</f>
        <v>6.0876937454545459</v>
      </c>
      <c r="R31" s="28">
        <v>49079</v>
      </c>
      <c r="S31" s="17" t="s">
        <v>112</v>
      </c>
    </row>
    <row r="32" spans="1:19" s="1" customFormat="1" ht="15" customHeight="1" x14ac:dyDescent="0.25">
      <c r="A32" s="13">
        <v>30</v>
      </c>
      <c r="B32" s="15" t="s">
        <v>60</v>
      </c>
      <c r="C32" s="11">
        <v>44391</v>
      </c>
      <c r="D32" s="19" t="s">
        <v>89</v>
      </c>
      <c r="E32" s="14">
        <v>44420</v>
      </c>
      <c r="F32" s="35" t="s">
        <v>107</v>
      </c>
      <c r="G32" s="19" t="s">
        <v>1</v>
      </c>
      <c r="H32" s="28">
        <f t="shared" si="0"/>
        <v>948000000</v>
      </c>
      <c r="I32" s="28">
        <v>110723087.16523202</v>
      </c>
      <c r="J32" s="28">
        <v>240000000</v>
      </c>
      <c r="K32" s="28">
        <f>J32+M32</f>
        <v>240000000</v>
      </c>
      <c r="L32" s="28">
        <f>M32+N32</f>
        <v>60000000</v>
      </c>
      <c r="M32" s="28"/>
      <c r="N32" s="37">
        <v>60000000</v>
      </c>
      <c r="O32" s="17">
        <v>15.8</v>
      </c>
      <c r="P32" s="28">
        <v>60000000</v>
      </c>
      <c r="Q32" s="17">
        <f>Table3[[#This Row],[Talep Edilen Pay (Nominal TL)]]/Table3[[#This Row],[Halka Arz Edilen Pay (Nominal TL)]]</f>
        <v>1</v>
      </c>
      <c r="R32" s="28">
        <v>33070</v>
      </c>
      <c r="S32" s="17" t="s">
        <v>28</v>
      </c>
    </row>
    <row r="33" spans="1:19" s="1" customFormat="1" ht="15" customHeight="1" x14ac:dyDescent="0.25">
      <c r="A33" s="13">
        <v>31</v>
      </c>
      <c r="B33" s="16" t="s">
        <v>61</v>
      </c>
      <c r="C33" s="18">
        <v>44406</v>
      </c>
      <c r="D33" s="14" t="s">
        <v>90</v>
      </c>
      <c r="E33" s="14">
        <v>44427</v>
      </c>
      <c r="F33" s="14" t="s">
        <v>23</v>
      </c>
      <c r="G33" s="14" t="s">
        <v>25</v>
      </c>
      <c r="H33" s="28">
        <f t="shared" si="0"/>
        <v>459000000</v>
      </c>
      <c r="I33" s="28">
        <v>54203422.255287491</v>
      </c>
      <c r="J33" s="28">
        <v>100000000</v>
      </c>
      <c r="K33" s="28">
        <f t="shared" ref="K33:K34" si="4">J33+M33</f>
        <v>115000000</v>
      </c>
      <c r="L33" s="28">
        <f t="shared" si="1"/>
        <v>27000000</v>
      </c>
      <c r="M33" s="37">
        <v>15000000</v>
      </c>
      <c r="N33" s="37">
        <v>12000000</v>
      </c>
      <c r="O33" s="17">
        <v>17</v>
      </c>
      <c r="P33" s="28">
        <v>489210638</v>
      </c>
      <c r="Q33" s="17">
        <f>Table3[[#This Row],[Talep Edilen Pay (Nominal TL)]]/Table3[[#This Row],[Halka Arz Edilen Pay (Nominal TL)]]</f>
        <v>18.118912518518517</v>
      </c>
      <c r="R33" s="28">
        <v>42843</v>
      </c>
      <c r="S33" s="17" t="s">
        <v>28</v>
      </c>
    </row>
    <row r="34" spans="1:19" s="1" customFormat="1" ht="15" customHeight="1" x14ac:dyDescent="0.25">
      <c r="A34" s="13">
        <v>32</v>
      </c>
      <c r="B34" s="16" t="s">
        <v>62</v>
      </c>
      <c r="C34" s="18">
        <v>44413</v>
      </c>
      <c r="D34" s="14" t="s">
        <v>90</v>
      </c>
      <c r="E34" s="14">
        <v>44428</v>
      </c>
      <c r="F34" s="14" t="s">
        <v>108</v>
      </c>
      <c r="G34" s="14" t="s">
        <v>25</v>
      </c>
      <c r="H34" s="28">
        <f t="shared" si="0"/>
        <v>354900000</v>
      </c>
      <c r="I34" s="28">
        <v>41910227.796081766</v>
      </c>
      <c r="J34" s="28">
        <v>80000000</v>
      </c>
      <c r="K34" s="28">
        <f>J34+M34</f>
        <v>102000000</v>
      </c>
      <c r="L34" s="28">
        <f t="shared" si="1"/>
        <v>39000000</v>
      </c>
      <c r="M34" s="37">
        <v>22000000</v>
      </c>
      <c r="N34" s="37">
        <v>17000000</v>
      </c>
      <c r="O34" s="17">
        <v>9.1</v>
      </c>
      <c r="P34" s="28">
        <v>222366807</v>
      </c>
      <c r="Q34" s="17">
        <f>Table3[[#This Row],[Talep Edilen Pay (Nominal TL)]]/Table3[[#This Row],[Halka Arz Edilen Pay (Nominal TL)]]</f>
        <v>5.7017129999999998</v>
      </c>
      <c r="R34" s="28">
        <v>35682</v>
      </c>
      <c r="S34" s="17" t="s">
        <v>28</v>
      </c>
    </row>
    <row r="35" spans="1:19" s="1" customFormat="1" ht="15.75" customHeight="1" x14ac:dyDescent="0.3">
      <c r="A35" s="13"/>
      <c r="B35" s="12" t="s">
        <v>0</v>
      </c>
      <c r="C35" s="10"/>
      <c r="D35" s="10"/>
      <c r="E35" s="10"/>
      <c r="F35" s="10"/>
      <c r="G35" s="10"/>
      <c r="H35" s="29">
        <f>SUM(H3:H34)</f>
        <v>14611757629.219999</v>
      </c>
      <c r="I35" s="29">
        <f>SUM(I3:I34)</f>
        <v>1750529407.0396323</v>
      </c>
      <c r="J35" s="29"/>
      <c r="K35" s="8"/>
      <c r="L35" s="29">
        <f>SUM(L3:L34)</f>
        <v>2454133122</v>
      </c>
      <c r="M35" s="29">
        <f>SUM(M3:M34)</f>
        <v>1684804184</v>
      </c>
      <c r="N35" s="29">
        <f>SUM(N3:N34)</f>
        <v>769328938</v>
      </c>
      <c r="O35" s="26"/>
      <c r="P35" s="29">
        <f>SUM(P3:P34)</f>
        <v>11670460981</v>
      </c>
      <c r="Q35" s="30">
        <f>Table3[[#This Row],[Talep Edilen Pay (Nominal TL)]]/Table3[[#This Row],[Halka Arz Edilen Pay (Nominal TL)]]</f>
        <v>4.7554311037084807</v>
      </c>
      <c r="R35" s="26"/>
      <c r="S35" s="9"/>
    </row>
    <row r="36" spans="1:19" s="1" customFormat="1" ht="15.75" customHeight="1" x14ac:dyDescent="0.25">
      <c r="A36" s="3" t="s">
        <v>14</v>
      </c>
      <c r="B36" s="2"/>
      <c r="C36" s="7"/>
      <c r="D36" s="7"/>
      <c r="E36" s="7"/>
      <c r="F36" s="6"/>
      <c r="G36" s="6"/>
      <c r="H36" s="5"/>
      <c r="I36" s="5"/>
      <c r="J36" s="5"/>
      <c r="K36" s="5"/>
      <c r="L36" s="5"/>
      <c r="M36" s="4"/>
      <c r="N36" s="4"/>
      <c r="O36" s="4"/>
      <c r="P36" s="4"/>
      <c r="Q36" s="4"/>
      <c r="R36" s="4"/>
      <c r="S36" s="4"/>
    </row>
    <row r="37" spans="1:19" x14ac:dyDescent="0.25">
      <c r="A37" s="3" t="s">
        <v>30</v>
      </c>
      <c r="B37" s="2"/>
      <c r="C37" s="7"/>
      <c r="D37" s="7"/>
      <c r="E37" s="7"/>
      <c r="F37" s="6"/>
      <c r="G37" s="6"/>
      <c r="H37" s="5"/>
      <c r="I37" s="5"/>
      <c r="J37" s="5"/>
      <c r="K37" s="5"/>
      <c r="L37" s="5"/>
      <c r="M37" s="4"/>
      <c r="N37" s="4"/>
      <c r="O37" s="4"/>
      <c r="P37" s="4"/>
      <c r="Q37" s="4"/>
      <c r="R37" s="4"/>
      <c r="S37" s="4"/>
    </row>
  </sheetData>
  <mergeCells count="1">
    <mergeCell ref="A1:I1"/>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Payların İlk Halka Arzı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spk</dc:creator>
  <cp:lastModifiedBy>Windows User</cp:lastModifiedBy>
  <dcterms:created xsi:type="dcterms:W3CDTF">2019-01-29T06:56:05Z</dcterms:created>
  <dcterms:modified xsi:type="dcterms:W3CDTF">2021-09-01T11:56:09Z</dcterms:modified>
</cp:coreProperties>
</file>