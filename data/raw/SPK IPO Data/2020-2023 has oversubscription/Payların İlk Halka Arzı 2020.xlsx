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ankfps03\Daireler\ad\web_veri\ilk_halka_arz\"/>
    </mc:Choice>
  </mc:AlternateContent>
  <bookViews>
    <workbookView xWindow="0" yWindow="1260" windowWidth="28800" windowHeight="11880"/>
  </bookViews>
  <sheets>
    <sheet name="Payların İlk Halka Arzı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1" l="1"/>
  <c r="K9" i="1"/>
  <c r="K8" i="1"/>
  <c r="K7" i="1"/>
  <c r="K6" i="1"/>
  <c r="K5" i="1"/>
  <c r="K4" i="1"/>
  <c r="K3" i="1"/>
  <c r="L9" i="1"/>
  <c r="L3" i="1" l="1"/>
  <c r="H3" i="1" s="1"/>
  <c r="H10" i="1"/>
  <c r="P11" i="1"/>
  <c r="N11" i="1"/>
  <c r="M11" i="1"/>
  <c r="Q10" i="1"/>
  <c r="L10" i="1"/>
  <c r="H9" i="1"/>
  <c r="L8" i="1"/>
  <c r="H8" i="1" s="1"/>
  <c r="L7" i="1"/>
  <c r="H7" i="1" s="1"/>
  <c r="L6" i="1"/>
  <c r="H6" i="1" s="1"/>
  <c r="L5" i="1"/>
  <c r="H5" i="1" s="1"/>
  <c r="L4" i="1"/>
  <c r="H4" i="1" s="1"/>
  <c r="Q9" i="1" l="1"/>
  <c r="L11" i="1"/>
  <c r="Q11" i="1" s="1"/>
  <c r="Q8" i="1"/>
  <c r="Q7" i="1"/>
  <c r="Q6" i="1"/>
  <c r="Q5" i="1"/>
  <c r="Q4" i="1"/>
  <c r="Q3" i="1"/>
  <c r="H11" i="1" l="1"/>
  <c r="I11" i="1"/>
</calcChain>
</file>

<file path=xl/sharedStrings.xml><?xml version="1.0" encoding="utf-8"?>
<sst xmlns="http://schemas.openxmlformats.org/spreadsheetml/2006/main" count="63" uniqueCount="49">
  <si>
    <t>TOPLAM</t>
  </si>
  <si>
    <t>Ana Pazar</t>
  </si>
  <si>
    <t>Metro Yatırım Menkul Değerler A.Ş.</t>
  </si>
  <si>
    <t>Gedik Yatırım Menkul Değerler A.Ş.</t>
  </si>
  <si>
    <t>Nominal Ortak Satış Tutarı (TL)</t>
  </si>
  <si>
    <t>Nominal Sermaye Artış Tutarı (TL)</t>
  </si>
  <si>
    <t>Toplanan Fon Miktarı (TL)*</t>
  </si>
  <si>
    <t>İşlem Gördüğü Pazar</t>
  </si>
  <si>
    <t>Borsada İşlem Görme Tarihi</t>
  </si>
  <si>
    <t>Halka Arza Aracılık Eden Yetkili Kuruluş</t>
  </si>
  <si>
    <t>İzahname Onay
Kurul Karar Tarihi</t>
  </si>
  <si>
    <t>Şirket Adı</t>
  </si>
  <si>
    <t xml:space="preserve">Sıra              </t>
  </si>
  <si>
    <t xml:space="preserve">Halka Arz Tarihi
</t>
  </si>
  <si>
    <t>* Halka arzdan elde edilen toplam fon miktarı olup, sermaye artırımı, ek satış, portföyden satış vb. dahildir.</t>
  </si>
  <si>
    <t>Toplanan Fon Miktarı (USD)</t>
  </si>
  <si>
    <t>Halka Arz Sonrası Sermaye (TL)</t>
  </si>
  <si>
    <t>Talep Edilen Pay (Nominal TL)</t>
  </si>
  <si>
    <t>Talebin Halka Arza Oranı</t>
  </si>
  <si>
    <t>Dağıtımı Yapılan Yatırımcı Sayısı</t>
  </si>
  <si>
    <t>Satış Yöntemi**</t>
  </si>
  <si>
    <t>Halka Arz Fiyatı (TL)</t>
  </si>
  <si>
    <t>2020 YILI PAY İLK HALKA ARZLARI ÖZET DURUM TABLOSU</t>
  </si>
  <si>
    <t>ARD Grup Bilişim Teknolojileri A.Ş.</t>
  </si>
  <si>
    <t>Bayrak EBT Taban Sanayi ve Ticaret  A.Ş.</t>
  </si>
  <si>
    <t>Fade Gıda Yatırım Sanayi Ticaret A.Ş.</t>
  </si>
  <si>
    <t>Dinamik Isı Makina Yalıtım Malzemeleri Sanayi ve Ticaret A.Ş.</t>
  </si>
  <si>
    <t xml:space="preserve">Esenboğa Elektrik Üretim A.Ş. </t>
  </si>
  <si>
    <t>Kontrolmatik Teknoloji Enerji ve Mühendislik A.Ş.</t>
  </si>
  <si>
    <t>Kervan Gıda Sanayi ve Ticaret A.Ş.</t>
  </si>
  <si>
    <t>Arzum Elektrikli Ev Aletleri Sanayi ve Ticaret A.Ş.</t>
  </si>
  <si>
    <t>İnfo Yatırım Menkul Değerler A.Ş.</t>
  </si>
  <si>
    <t>Oyak Yatırım Menkul Değerler A.Ş.</t>
  </si>
  <si>
    <t>Yapı Kredi Yatırım Menkul Değerler A.Ş.</t>
  </si>
  <si>
    <t>29-30/01/2020</t>
  </si>
  <si>
    <t>28-29/05/2020</t>
  </si>
  <si>
    <t>29-30/07/2020</t>
  </si>
  <si>
    <t>27-28/08/2020</t>
  </si>
  <si>
    <t>01-02/10/2020</t>
  </si>
  <si>
    <t>12-13/10/2020</t>
  </si>
  <si>
    <t xml:space="preserve">26-27/11/2020 </t>
  </si>
  <si>
    <t>17-18/12/2020</t>
  </si>
  <si>
    <t>Yıldız Pazar</t>
  </si>
  <si>
    <t>Halka Arz Edilen Pay (Nominal TL)</t>
  </si>
  <si>
    <t>Borsa'da sabit fiyatla talep toplama</t>
  </si>
  <si>
    <t>Sabit Fiyatla Talep Toplama</t>
  </si>
  <si>
    <t>Fiyat Aralığı İle Talep Toplama</t>
  </si>
  <si>
    <t>** Fiyat aralığı ile talep toplama yöntemi ile elde edilen halka arz gelirleri birim satış fiyatından hesaplanmıştır.</t>
  </si>
  <si>
    <t>Mevcut Sermaye (TL)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</si>
</sst>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3" tint="0.39997558519241921"/>
      <name val="Calibri"/>
      <family val="2"/>
      <charset val="162"/>
      <scheme val="minor"/>
    </font>
    <font>
      <b/>
      <sz val="12"/>
      <color theme="4" tint="-0.249977111117893"/>
      <name val="Calibri"/>
      <family val="2"/>
      <charset val="162"/>
      <scheme val="minor"/>
    </font>
    <font>
      <sz val="12"/>
      <color theme="4" tint="-0.249977111117893"/>
      <name val="Calibri"/>
      <family val="2"/>
      <charset val="162"/>
      <scheme val="minor"/>
    </font>
    <font>
      <b/>
      <sz val="14"/>
      <color theme="3" tint="0.39997558519241921"/>
      <name val="Calibri"/>
      <family val="2"/>
      <charset val="162"/>
      <scheme val="minor"/>
    </font>
    <font>
      <b/>
      <u val="double"/>
      <sz val="20"/>
      <color theme="4" tint="-0.249977111117893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Fill="1"/>
    <xf numFmtId="0" fontId="0" fillId="2" borderId="0" xfId="0" applyFill="1" applyBorder="1"/>
    <xf numFmtId="0" fontId="4" fillId="2" borderId="0" xfId="0" applyFont="1" applyFill="1" applyBorder="1"/>
    <xf numFmtId="4" fontId="1" fillId="2" borderId="0" xfId="0" applyNumberFormat="1" applyFont="1" applyFill="1" applyBorder="1" applyAlignment="1">
      <alignment horizontal="center"/>
    </xf>
    <xf numFmtId="4" fontId="1" fillId="2" borderId="0" xfId="0" applyNumberFormat="1" applyFont="1" applyFill="1" applyBorder="1" applyAlignment="1">
      <alignment horizontal="right"/>
    </xf>
    <xf numFmtId="14" fontId="1" fillId="2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4" fontId="5" fillId="0" borderId="2" xfId="0" applyNumberFormat="1" applyFont="1" applyFill="1" applyBorder="1" applyAlignment="1">
      <alignment horizontal="right"/>
    </xf>
    <xf numFmtId="4" fontId="6" fillId="0" borderId="3" xfId="0" applyNumberFormat="1" applyFont="1" applyFill="1" applyBorder="1" applyAlignment="1">
      <alignment horizontal="right"/>
    </xf>
    <xf numFmtId="0" fontId="7" fillId="0" borderId="3" xfId="0" applyFont="1" applyFill="1" applyBorder="1" applyAlignment="1">
      <alignment horizontal="center"/>
    </xf>
    <xf numFmtId="14" fontId="1" fillId="0" borderId="3" xfId="0" applyNumberFormat="1" applyFont="1" applyFill="1" applyBorder="1" applyAlignment="1">
      <alignment horizontal="center"/>
    </xf>
    <xf numFmtId="0" fontId="3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14" fontId="1" fillId="0" borderId="3" xfId="0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wrapText="1"/>
    </xf>
    <xf numFmtId="0" fontId="0" fillId="0" borderId="3" xfId="0" applyFont="1" applyFill="1" applyBorder="1" applyAlignment="1"/>
    <xf numFmtId="4" fontId="0" fillId="0" borderId="3" xfId="0" applyNumberFormat="1" applyFont="1" applyFill="1" applyBorder="1" applyAlignment="1">
      <alignment horizontal="right"/>
    </xf>
    <xf numFmtId="14" fontId="0" fillId="0" borderId="3" xfId="0" applyNumberFormat="1" applyFont="1" applyFill="1" applyBorder="1" applyAlignment="1">
      <alignment horizontal="center"/>
    </xf>
    <xf numFmtId="14" fontId="0" fillId="0" borderId="3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4" fontId="2" fillId="3" borderId="3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" fontId="5" fillId="0" borderId="3" xfId="0" applyNumberFormat="1" applyFont="1" applyFill="1" applyBorder="1" applyAlignment="1">
      <alignment horizontal="right"/>
    </xf>
    <xf numFmtId="0" fontId="8" fillId="0" borderId="0" xfId="0" applyFont="1" applyAlignment="1">
      <alignment horizontal="center" vertical="center"/>
    </xf>
    <xf numFmtId="3" fontId="0" fillId="0" borderId="3" xfId="0" applyNumberFormat="1" applyFont="1" applyFill="1" applyBorder="1" applyAlignment="1">
      <alignment horizontal="right"/>
    </xf>
    <xf numFmtId="3" fontId="5" fillId="0" borderId="2" xfId="0" applyNumberFormat="1" applyFont="1" applyFill="1" applyBorder="1" applyAlignment="1">
      <alignment horizontal="right"/>
    </xf>
    <xf numFmtId="4" fontId="3" fillId="0" borderId="3" xfId="0" applyNumberFormat="1" applyFont="1" applyFill="1" applyBorder="1" applyAlignment="1">
      <alignment horizontal="right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relative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bottom" textRotation="0" wrapText="0" relative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/>
        <bottom/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/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" displayName="Table3" ref="A2:S13" totalsRowShown="0" headerRowDxfId="34" dataDxfId="32" headerRowBorderDxfId="33" tableBorderDxfId="31">
  <autoFilter ref="A2:S13"/>
  <sortState ref="A3:S26">
    <sortCondition ref="C2:C26"/>
  </sortState>
  <tableColumns count="19">
    <tableColumn id="1" name="Sıra              " dataDxfId="30" totalsRowDxfId="29"/>
    <tableColumn id="2" name="Şirket Adı" dataDxfId="28" totalsRowDxfId="27"/>
    <tableColumn id="6" name="İzahname Onay_x000a_Kurul Karar Tarihi" dataDxfId="26" totalsRowDxfId="25"/>
    <tableColumn id="19" name="Halka Arz Tarihi_x000a_" totalsRowDxfId="24"/>
    <tableColumn id="18" name="Borsada İşlem Görme Tarihi" totalsRowDxfId="23"/>
    <tableColumn id="20" name="Halka Arza Aracılık Eden Yetkili Kuruluş" dataDxfId="22" totalsRowDxfId="21"/>
    <tableColumn id="21" name="İşlem Gördüğü Pazar" dataDxfId="20" totalsRowDxfId="19"/>
    <tableColumn id="9" name="Toplanan Fon Miktarı (TL)*" dataDxfId="18" totalsRowDxfId="17"/>
    <tableColumn id="10" name="Toplanan Fon Miktarı (USD)" dataDxfId="16" totalsRowDxfId="15"/>
    <tableColumn id="7" name="Mevcut Sermaye (TL)" totalsRowDxfId="0"/>
    <tableColumn id="4" name="Halka Arz Sonrası Sermaye (TL)" totalsRowDxfId="14"/>
    <tableColumn id="3" name="Halka Arz Edilen Pay (Nominal TL)" dataDxfId="13" totalsRowDxfId="12">
      <calculatedColumnFormula>Table3[[#This Row],[Nominal Sermaye Artış Tutarı (TL)]]+Table3[[#This Row],[Nominal Ortak Satış Tutarı (TL)]]+#REF!</calculatedColumnFormula>
    </tableColumn>
    <tableColumn id="11" name="Nominal Sermaye Artış Tutarı (TL)" dataDxfId="11" totalsRowDxfId="10"/>
    <tableColumn id="12" name="Nominal Ortak Satış Tutarı (TL)" dataDxfId="9" totalsRowDxfId="8"/>
    <tableColumn id="16" name="Halka Arz Fiyatı (TL)" totalsRowDxfId="7"/>
    <tableColumn id="15" name="Talep Edilen Pay (Nominal TL)" totalsRowDxfId="6"/>
    <tableColumn id="14" name="Talebin Halka Arza Oranı" dataDxfId="5" totalsRowDxfId="4">
      <calculatedColumnFormula>Table3[[#This Row],[Talep Edilen Pay (Nominal TL)]]/Table3[[#This Row],[Halka Arz Edilen Pay (Nominal TL)]]</calculatedColumnFormula>
    </tableColumn>
    <tableColumn id="5" name="Dağıtımı Yapılan Yatırımcı Sayısı" totalsRowDxfId="3"/>
    <tableColumn id="13" name="Satış Yöntemi**" dataDxfId="2" totalsRow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:A13"/>
    </sheetView>
  </sheetViews>
  <sheetFormatPr defaultRowHeight="15" x14ac:dyDescent="0.25"/>
  <cols>
    <col min="1" max="1" width="6.42578125" customWidth="1"/>
    <col min="2" max="2" width="72" customWidth="1"/>
    <col min="3" max="5" width="14.7109375" customWidth="1"/>
    <col min="6" max="6" width="39.5703125" customWidth="1"/>
    <col min="7" max="7" width="18.140625" customWidth="1"/>
    <col min="8" max="8" width="17.28515625" customWidth="1"/>
    <col min="9" max="12" width="17.7109375" customWidth="1"/>
    <col min="13" max="13" width="18" bestFit="1" customWidth="1"/>
    <col min="14" max="14" width="17.85546875" customWidth="1"/>
    <col min="15" max="15" width="14.5703125" customWidth="1"/>
    <col min="16" max="16" width="17.42578125" bestFit="1" customWidth="1"/>
    <col min="17" max="18" width="14.5703125" customWidth="1"/>
    <col min="19" max="19" width="32.5703125" bestFit="1" customWidth="1"/>
  </cols>
  <sheetData>
    <row r="1" spans="1:19" s="23" customFormat="1" ht="26.25" x14ac:dyDescent="0.25">
      <c r="A1" s="31" t="s">
        <v>22</v>
      </c>
      <c r="B1" s="31"/>
      <c r="C1" s="31"/>
      <c r="D1" s="31"/>
      <c r="E1" s="31"/>
      <c r="F1" s="31"/>
      <c r="G1" s="31"/>
      <c r="H1" s="31"/>
      <c r="I1" s="31"/>
      <c r="J1" s="27"/>
      <c r="K1" s="24"/>
      <c r="L1" s="25"/>
    </row>
    <row r="2" spans="1:19" ht="45" x14ac:dyDescent="0.25">
      <c r="A2" s="22" t="s">
        <v>12</v>
      </c>
      <c r="B2" s="22" t="s">
        <v>11</v>
      </c>
      <c r="C2" s="20" t="s">
        <v>10</v>
      </c>
      <c r="D2" s="20" t="s">
        <v>13</v>
      </c>
      <c r="E2" s="20" t="s">
        <v>8</v>
      </c>
      <c r="F2" s="20" t="s">
        <v>9</v>
      </c>
      <c r="G2" s="20" t="s">
        <v>7</v>
      </c>
      <c r="H2" s="21" t="s">
        <v>6</v>
      </c>
      <c r="I2" s="21" t="s">
        <v>15</v>
      </c>
      <c r="J2" s="21" t="s">
        <v>48</v>
      </c>
      <c r="K2" s="21" t="s">
        <v>16</v>
      </c>
      <c r="L2" s="21" t="s">
        <v>43</v>
      </c>
      <c r="M2" s="20" t="s">
        <v>5</v>
      </c>
      <c r="N2" s="20" t="s">
        <v>4</v>
      </c>
      <c r="O2" s="20" t="s">
        <v>21</v>
      </c>
      <c r="P2" s="20" t="s">
        <v>17</v>
      </c>
      <c r="Q2" s="20" t="s">
        <v>18</v>
      </c>
      <c r="R2" s="20" t="s">
        <v>19</v>
      </c>
      <c r="S2" s="20" t="s">
        <v>20</v>
      </c>
    </row>
    <row r="3" spans="1:19" s="1" customFormat="1" x14ac:dyDescent="0.25">
      <c r="A3" s="13">
        <v>1</v>
      </c>
      <c r="B3" s="16" t="s">
        <v>23</v>
      </c>
      <c r="C3" s="11">
        <v>43846</v>
      </c>
      <c r="D3" s="19" t="s">
        <v>34</v>
      </c>
      <c r="E3" s="14">
        <v>43867</v>
      </c>
      <c r="F3" s="19" t="s">
        <v>2</v>
      </c>
      <c r="G3" s="19" t="s">
        <v>1</v>
      </c>
      <c r="H3" s="28">
        <f>L3*O3</f>
        <v>39750000</v>
      </c>
      <c r="I3" s="28">
        <v>6649047.38805346</v>
      </c>
      <c r="J3" s="28">
        <v>18000000</v>
      </c>
      <c r="K3" s="28">
        <f>J3+M3</f>
        <v>22000000</v>
      </c>
      <c r="L3" s="28">
        <f>Table3[[#This Row],[Nominal Sermaye Artış Tutarı (TL)]]+Table3[[#This Row],[Nominal Ortak Satış Tutarı (TL)]]</f>
        <v>7500000</v>
      </c>
      <c r="M3" s="28">
        <v>4000000</v>
      </c>
      <c r="N3" s="28">
        <v>3500000</v>
      </c>
      <c r="O3" s="17">
        <v>5.3</v>
      </c>
      <c r="P3" s="17">
        <v>127500000</v>
      </c>
      <c r="Q3" s="17">
        <f>Table3[[#This Row],[Talep Edilen Pay (Nominal TL)]]/Table3[[#This Row],[Halka Arz Edilen Pay (Nominal TL)]]</f>
        <v>17</v>
      </c>
      <c r="R3" s="28">
        <v>18055</v>
      </c>
      <c r="S3" s="17" t="s">
        <v>44</v>
      </c>
    </row>
    <row r="4" spans="1:19" s="1" customFormat="1" x14ac:dyDescent="0.25">
      <c r="A4" s="13">
        <v>2</v>
      </c>
      <c r="B4" s="16" t="s">
        <v>24</v>
      </c>
      <c r="C4" s="11">
        <v>43972</v>
      </c>
      <c r="D4" s="19" t="s">
        <v>35</v>
      </c>
      <c r="E4" s="14">
        <v>43986</v>
      </c>
      <c r="F4" s="19" t="s">
        <v>2</v>
      </c>
      <c r="G4" s="19" t="s">
        <v>1</v>
      </c>
      <c r="H4" s="28">
        <f t="shared" ref="H4:H9" si="0">L4*O4</f>
        <v>30340000</v>
      </c>
      <c r="I4" s="28">
        <v>4452728.2867122609</v>
      </c>
      <c r="J4" s="28">
        <v>16000000</v>
      </c>
      <c r="K4" s="28">
        <f>J4+M4</f>
        <v>21250000</v>
      </c>
      <c r="L4" s="28">
        <f>Table3[[#This Row],[Nominal Sermaye Artış Tutarı (TL)]]+Table3[[#This Row],[Nominal Ortak Satış Tutarı (TL)]]</f>
        <v>9250000</v>
      </c>
      <c r="M4" s="28">
        <v>5250000</v>
      </c>
      <c r="N4" s="28">
        <v>4000000</v>
      </c>
      <c r="O4" s="17">
        <v>3.28</v>
      </c>
      <c r="P4" s="17">
        <v>129500000</v>
      </c>
      <c r="Q4" s="17">
        <f>Table3[[#This Row],[Talep Edilen Pay (Nominal TL)]]/Table3[[#This Row],[Halka Arz Edilen Pay (Nominal TL)]]</f>
        <v>14</v>
      </c>
      <c r="R4" s="28">
        <v>26686</v>
      </c>
      <c r="S4" s="17" t="s">
        <v>44</v>
      </c>
    </row>
    <row r="5" spans="1:19" s="1" customFormat="1" x14ac:dyDescent="0.25">
      <c r="A5" s="13">
        <v>3</v>
      </c>
      <c r="B5" s="16" t="s">
        <v>25</v>
      </c>
      <c r="C5" s="11">
        <v>44035</v>
      </c>
      <c r="D5" s="19" t="s">
        <v>36</v>
      </c>
      <c r="E5" s="14">
        <v>44049</v>
      </c>
      <c r="F5" s="19" t="s">
        <v>31</v>
      </c>
      <c r="G5" s="19" t="s">
        <v>1</v>
      </c>
      <c r="H5" s="28">
        <f t="shared" si="0"/>
        <v>43200000</v>
      </c>
      <c r="I5" s="28">
        <v>6227296.3155163471</v>
      </c>
      <c r="J5" s="28">
        <v>55000000</v>
      </c>
      <c r="K5" s="28">
        <f>J5+M5</f>
        <v>66000000</v>
      </c>
      <c r="L5" s="28">
        <f>Table3[[#This Row],[Nominal Sermaye Artış Tutarı (TL)]]+Table3[[#This Row],[Nominal Ortak Satış Tutarı (TL)]]</f>
        <v>18000000</v>
      </c>
      <c r="M5" s="28">
        <v>11000000</v>
      </c>
      <c r="N5" s="28">
        <v>7000000</v>
      </c>
      <c r="O5" s="17">
        <v>2.4</v>
      </c>
      <c r="P5" s="17">
        <v>216000000</v>
      </c>
      <c r="Q5" s="17">
        <f>Table3[[#This Row],[Talep Edilen Pay (Nominal TL)]]/Table3[[#This Row],[Halka Arz Edilen Pay (Nominal TL)]]</f>
        <v>12</v>
      </c>
      <c r="R5" s="28">
        <v>83917</v>
      </c>
      <c r="S5" s="17" t="s">
        <v>44</v>
      </c>
    </row>
    <row r="6" spans="1:19" s="1" customFormat="1" x14ac:dyDescent="0.25">
      <c r="A6" s="13">
        <v>4</v>
      </c>
      <c r="B6" s="15" t="s">
        <v>26</v>
      </c>
      <c r="C6" s="18">
        <v>44063</v>
      </c>
      <c r="D6" s="19" t="s">
        <v>37</v>
      </c>
      <c r="E6" s="14">
        <v>44077</v>
      </c>
      <c r="F6" s="19" t="s">
        <v>3</v>
      </c>
      <c r="G6" s="19" t="s">
        <v>1</v>
      </c>
      <c r="H6" s="28">
        <f t="shared" si="0"/>
        <v>30624000</v>
      </c>
      <c r="I6" s="28">
        <v>4192197.1252566739</v>
      </c>
      <c r="J6" s="28">
        <v>16000000</v>
      </c>
      <c r="K6" s="28">
        <f>J6+M6</f>
        <v>24700000</v>
      </c>
      <c r="L6" s="28">
        <f>Table3[[#This Row],[Nominal Sermaye Artış Tutarı (TL)]]+Table3[[#This Row],[Nominal Ortak Satış Tutarı (TL)]]</f>
        <v>8700000</v>
      </c>
      <c r="M6" s="28">
        <v>8700000</v>
      </c>
      <c r="N6" s="28">
        <v>0</v>
      </c>
      <c r="O6" s="17">
        <v>3.52</v>
      </c>
      <c r="P6" s="17">
        <v>234900000</v>
      </c>
      <c r="Q6" s="17">
        <f>Table3[[#This Row],[Talep Edilen Pay (Nominal TL)]]/Table3[[#This Row],[Halka Arz Edilen Pay (Nominal TL)]]</f>
        <v>27</v>
      </c>
      <c r="R6" s="28">
        <v>175917</v>
      </c>
      <c r="S6" s="17" t="s">
        <v>44</v>
      </c>
    </row>
    <row r="7" spans="1:19" s="1" customFormat="1" x14ac:dyDescent="0.25">
      <c r="A7" s="13">
        <v>5</v>
      </c>
      <c r="B7" s="16" t="s">
        <v>27</v>
      </c>
      <c r="C7" s="11">
        <v>44098</v>
      </c>
      <c r="D7" s="19" t="s">
        <v>38</v>
      </c>
      <c r="E7" s="14">
        <v>44113</v>
      </c>
      <c r="F7" s="19" t="s">
        <v>2</v>
      </c>
      <c r="G7" s="19" t="s">
        <v>42</v>
      </c>
      <c r="H7" s="28">
        <f t="shared" si="0"/>
        <v>204000000</v>
      </c>
      <c r="I7" s="28">
        <v>26394783.148742367</v>
      </c>
      <c r="J7" s="28">
        <v>40000000</v>
      </c>
      <c r="K7" s="28">
        <f>J7+M7</f>
        <v>64000000</v>
      </c>
      <c r="L7" s="28">
        <f>Table3[[#This Row],[Nominal Sermaye Artış Tutarı (TL)]]+Table3[[#This Row],[Nominal Ortak Satış Tutarı (TL)]]</f>
        <v>24000000</v>
      </c>
      <c r="M7" s="28">
        <v>24000000</v>
      </c>
      <c r="N7" s="28">
        <v>0</v>
      </c>
      <c r="O7" s="17">
        <v>8.5</v>
      </c>
      <c r="P7" s="17">
        <v>156000000</v>
      </c>
      <c r="Q7" s="17">
        <f>Table3[[#This Row],[Talep Edilen Pay (Nominal TL)]]/Table3[[#This Row],[Halka Arz Edilen Pay (Nominal TL)]]</f>
        <v>6.5</v>
      </c>
      <c r="R7" s="28">
        <v>249452</v>
      </c>
      <c r="S7" s="17" t="s">
        <v>44</v>
      </c>
    </row>
    <row r="8" spans="1:19" s="1" customFormat="1" x14ac:dyDescent="0.25">
      <c r="A8" s="13">
        <v>6</v>
      </c>
      <c r="B8" s="15" t="s">
        <v>28</v>
      </c>
      <c r="C8" s="11">
        <v>44098</v>
      </c>
      <c r="D8" s="19" t="s">
        <v>39</v>
      </c>
      <c r="E8" s="14">
        <v>44123</v>
      </c>
      <c r="F8" s="19" t="s">
        <v>3</v>
      </c>
      <c r="G8" s="19" t="s">
        <v>1</v>
      </c>
      <c r="H8" s="28">
        <f t="shared" si="0"/>
        <v>50025000</v>
      </c>
      <c r="I8" s="28">
        <v>6350123.1308233263</v>
      </c>
      <c r="J8" s="28">
        <v>30000000</v>
      </c>
      <c r="K8" s="28">
        <f>J8+M8</f>
        <v>36250000</v>
      </c>
      <c r="L8" s="28">
        <f>Table3[[#This Row],[Nominal Sermaye Artış Tutarı (TL)]]+Table3[[#This Row],[Nominal Ortak Satış Tutarı (TL)]]</f>
        <v>7250000</v>
      </c>
      <c r="M8" s="28">
        <v>6250000</v>
      </c>
      <c r="N8" s="28">
        <v>1000000</v>
      </c>
      <c r="O8" s="17">
        <v>6.9</v>
      </c>
      <c r="P8" s="17">
        <v>190675000</v>
      </c>
      <c r="Q8" s="17">
        <f>Table3[[#This Row],[Talep Edilen Pay (Nominal TL)]]/Table3[[#This Row],[Halka Arz Edilen Pay (Nominal TL)]]</f>
        <v>26.3</v>
      </c>
      <c r="R8" s="28">
        <v>18317</v>
      </c>
      <c r="S8" s="17" t="s">
        <v>45</v>
      </c>
    </row>
    <row r="9" spans="1:19" s="1" customFormat="1" x14ac:dyDescent="0.25">
      <c r="A9" s="13">
        <v>7</v>
      </c>
      <c r="B9" s="16" t="s">
        <v>29</v>
      </c>
      <c r="C9" s="18">
        <v>44154</v>
      </c>
      <c r="D9" s="14" t="s">
        <v>40</v>
      </c>
      <c r="E9" s="14">
        <v>44169</v>
      </c>
      <c r="F9" s="14" t="s">
        <v>32</v>
      </c>
      <c r="G9" s="14" t="s">
        <v>42</v>
      </c>
      <c r="H9" s="28">
        <f t="shared" si="0"/>
        <v>465750000</v>
      </c>
      <c r="I9" s="28">
        <v>59691641.247789197</v>
      </c>
      <c r="J9" s="28">
        <v>150000000</v>
      </c>
      <c r="K9" s="28">
        <f>J9+M9</f>
        <v>187500000</v>
      </c>
      <c r="L9" s="28">
        <f>Table3[[#This Row],[Nominal Sermaye Artış Tutarı (TL)]]+Table3[[#This Row],[Nominal Ortak Satış Tutarı (TL)]]</f>
        <v>51750000</v>
      </c>
      <c r="M9" s="28">
        <v>37500000</v>
      </c>
      <c r="N9" s="28">
        <v>14250000</v>
      </c>
      <c r="O9" s="17">
        <v>9</v>
      </c>
      <c r="P9" s="17">
        <v>875183534</v>
      </c>
      <c r="Q9" s="17">
        <f>Table3[[#This Row],[Talep Edilen Pay (Nominal TL)]]/Table3[[#This Row],[Halka Arz Edilen Pay (Nominal TL)]]</f>
        <v>16.91175911111111</v>
      </c>
      <c r="R9" s="28">
        <v>251372</v>
      </c>
      <c r="S9" s="17" t="s">
        <v>46</v>
      </c>
    </row>
    <row r="10" spans="1:19" s="1" customFormat="1" x14ac:dyDescent="0.25">
      <c r="A10" s="13">
        <v>8</v>
      </c>
      <c r="B10" s="16" t="s">
        <v>30</v>
      </c>
      <c r="C10" s="18">
        <v>44175</v>
      </c>
      <c r="D10" s="14" t="s">
        <v>41</v>
      </c>
      <c r="E10" s="14">
        <v>44189</v>
      </c>
      <c r="F10" s="14" t="s">
        <v>33</v>
      </c>
      <c r="G10" s="14" t="s">
        <v>42</v>
      </c>
      <c r="H10" s="28">
        <f>L10*O10</f>
        <v>260141582</v>
      </c>
      <c r="I10" s="28">
        <v>33829434.055502094</v>
      </c>
      <c r="J10" s="28">
        <v>32210000</v>
      </c>
      <c r="K10" s="28">
        <f>J10+M10</f>
        <v>32210000</v>
      </c>
      <c r="L10" s="28">
        <f>Table3[[#This Row],[Nominal Sermaye Artış Tutarı (TL)]]+Table3[[#This Row],[Nominal Ortak Satış Tutarı (TL)]]</f>
        <v>15302446</v>
      </c>
      <c r="M10" s="28">
        <v>0</v>
      </c>
      <c r="N10" s="28">
        <v>15302446</v>
      </c>
      <c r="O10" s="17">
        <v>17</v>
      </c>
      <c r="P10" s="17">
        <v>662267333</v>
      </c>
      <c r="Q10" s="17">
        <f>Table3[[#This Row],[Talep Edilen Pay (Nominal TL)]]/Table3[[#This Row],[Halka Arz Edilen Pay (Nominal TL)]]</f>
        <v>43.278527694200001</v>
      </c>
      <c r="R10" s="28">
        <v>207206</v>
      </c>
      <c r="S10" s="17" t="s">
        <v>46</v>
      </c>
    </row>
    <row r="11" spans="1:19" s="1" customFormat="1" ht="15.75" customHeight="1" x14ac:dyDescent="0.3">
      <c r="A11" s="13"/>
      <c r="B11" s="12" t="s">
        <v>0</v>
      </c>
      <c r="C11" s="10"/>
      <c r="D11" s="10"/>
      <c r="E11" s="10"/>
      <c r="F11" s="10"/>
      <c r="G11" s="10"/>
      <c r="H11" s="29">
        <f>SUM(H3:H10)</f>
        <v>1123830582</v>
      </c>
      <c r="I11" s="29">
        <f>SUM(I3:I10)</f>
        <v>147787250.69839573</v>
      </c>
      <c r="J11" s="29"/>
      <c r="K11" s="8"/>
      <c r="L11" s="29">
        <f>SUM(L3:L10)</f>
        <v>141752446</v>
      </c>
      <c r="M11" s="29">
        <f>SUM(M3:M10)</f>
        <v>96700000</v>
      </c>
      <c r="N11" s="29">
        <f>SUM(N3:N10)</f>
        <v>45052446</v>
      </c>
      <c r="O11" s="26"/>
      <c r="P11" s="29">
        <f>SUM(P3:P10)</f>
        <v>2592025867</v>
      </c>
      <c r="Q11" s="30">
        <f>Table3[[#This Row],[Talep Edilen Pay (Nominal TL)]]/Table3[[#This Row],[Halka Arz Edilen Pay (Nominal TL)]]</f>
        <v>18.285581237871551</v>
      </c>
      <c r="R11" s="26"/>
      <c r="S11" s="9"/>
    </row>
    <row r="12" spans="1:19" s="1" customFormat="1" ht="15.75" customHeight="1" x14ac:dyDescent="0.25">
      <c r="A12" s="3" t="s">
        <v>14</v>
      </c>
      <c r="B12" s="2"/>
      <c r="C12" s="7"/>
      <c r="D12" s="7"/>
      <c r="E12" s="7"/>
      <c r="F12" s="6"/>
      <c r="G12" s="6"/>
      <c r="H12" s="5"/>
      <c r="I12" s="5"/>
      <c r="J12" s="5"/>
      <c r="K12" s="5"/>
      <c r="L12" s="5"/>
      <c r="M12" s="4"/>
      <c r="N12" s="4"/>
      <c r="O12" s="4"/>
      <c r="P12" s="4"/>
      <c r="Q12" s="4"/>
      <c r="R12" s="4"/>
      <c r="S12" s="4"/>
    </row>
    <row r="13" spans="1:19" x14ac:dyDescent="0.25">
      <c r="A13" s="3" t="s">
        <v>47</v>
      </c>
      <c r="B13" s="2"/>
      <c r="C13" s="7"/>
      <c r="D13" s="7"/>
      <c r="E13" s="7"/>
      <c r="F13" s="6"/>
      <c r="G13" s="6"/>
      <c r="H13" s="5"/>
      <c r="I13" s="5"/>
      <c r="J13" s="5"/>
      <c r="K13" s="5"/>
      <c r="L13" s="5"/>
      <c r="M13" s="4"/>
      <c r="N13" s="4"/>
      <c r="O13" s="4"/>
      <c r="P13" s="4"/>
      <c r="Q13" s="4"/>
      <c r="R13" s="4"/>
      <c r="S13" s="4"/>
    </row>
  </sheetData>
  <mergeCells count="1">
    <mergeCell ref="A1:I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Payların İlk Halka Arzı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spk</dc:creator>
  <cp:lastModifiedBy>Windows User</cp:lastModifiedBy>
  <dcterms:created xsi:type="dcterms:W3CDTF">2019-01-29T06:56:05Z</dcterms:created>
  <dcterms:modified xsi:type="dcterms:W3CDTF">2021-09-01T12:10:18Z</dcterms:modified>
</cp:coreProperties>
</file>