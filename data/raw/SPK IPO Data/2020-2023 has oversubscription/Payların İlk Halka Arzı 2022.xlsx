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ankfps03\Daireler\ad\2023_calismalari\SPK_site veri güncelleme\siteye yüklenecekler\"/>
    </mc:Choice>
  </mc:AlternateContent>
  <bookViews>
    <workbookView xWindow="0" yWindow="0" windowWidth="28800" windowHeight="12315"/>
  </bookViews>
  <sheets>
    <sheet name="Payların İlk Halka Arz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2" i="1" l="1"/>
  <c r="P42" i="1"/>
  <c r="H42" i="1"/>
  <c r="L42" i="1" l="1"/>
  <c r="I42" i="1"/>
  <c r="K28" i="1" l="1"/>
  <c r="K29" i="1"/>
  <c r="K30" i="1"/>
  <c r="K31" i="1"/>
  <c r="K32" i="1"/>
  <c r="K33" i="1"/>
  <c r="K34" i="1"/>
  <c r="K35" i="1"/>
  <c r="K36" i="1"/>
  <c r="K37" i="1"/>
  <c r="K38" i="1"/>
  <c r="K39" i="1"/>
  <c r="K40" i="1"/>
  <c r="K27" i="1"/>
  <c r="N42" i="1" l="1"/>
  <c r="M42" i="1"/>
</calcChain>
</file>

<file path=xl/sharedStrings.xml><?xml version="1.0" encoding="utf-8"?>
<sst xmlns="http://schemas.openxmlformats.org/spreadsheetml/2006/main" count="214" uniqueCount="132">
  <si>
    <t>TOPLAM</t>
  </si>
  <si>
    <t>Ana Pazar</t>
  </si>
  <si>
    <t>Nominal Ortak Satış Tutarı (TL)</t>
  </si>
  <si>
    <t>Nominal Sermaye Artış Tutarı (TL)</t>
  </si>
  <si>
    <t>Toplanan Fon Miktarı (TL)*</t>
  </si>
  <si>
    <t>İşlem Gördüğü Pazar</t>
  </si>
  <si>
    <t>Borsada İşlem Görme Tarihi</t>
  </si>
  <si>
    <t>Halka Arza Aracılık Eden Yetkili Kuruluş</t>
  </si>
  <si>
    <t>İzahname Onay
Kurul Karar Tarihi</t>
  </si>
  <si>
    <t>Şirket Adı</t>
  </si>
  <si>
    <t xml:space="preserve">Sıra              </t>
  </si>
  <si>
    <t xml:space="preserve">Halka Arz Tarihi
</t>
  </si>
  <si>
    <t>* Halka arzdan elde edilen toplam fon miktarı olup, sermaye artırımı, ek satış, portföyden satış vb. dahildir.</t>
  </si>
  <si>
    <t>Toplanan Fon Miktarı (USD)</t>
  </si>
  <si>
    <t>Halka Arz Sonrası Sermaye (TL)</t>
  </si>
  <si>
    <t>Talep Edilen Pay (Nominal TL)</t>
  </si>
  <si>
    <t>Talebin Halka Arza Oranı</t>
  </si>
  <si>
    <t>Dağıtımı Yapılan Yatırımcı Sayısı</t>
  </si>
  <si>
    <t>Satış Yöntemi**</t>
  </si>
  <si>
    <t>Halka Arz Fiyatı (TL)</t>
  </si>
  <si>
    <t>Yıldız Pazar</t>
  </si>
  <si>
    <t>Halka Arz Edilen Pay (Nominal TL)</t>
  </si>
  <si>
    <t>** Fiyat aralığı ile talep toplama yöntemi ile elde edilen halka arz gelirleri birim satış fiyatından hesaplanmıştır.</t>
  </si>
  <si>
    <t>Mevcut Sermaye (TL)</t>
  </si>
  <si>
    <t>2022 YILI PAY İLK HALKA ARZLARI ÖZET DURUM TABLOSU</t>
  </si>
  <si>
    <t>Suwen Tekstil Sanayi Pazarlama A.Ş.</t>
  </si>
  <si>
    <t>BMS Birleşik Metal Sanayi ve Ticaret A.Ş.</t>
  </si>
  <si>
    <t>Kimteks Poliüretan Sanayi ve Ticaret  A.Ş.</t>
  </si>
  <si>
    <t>İmaş Makina Sanayi A.Ş.</t>
  </si>
  <si>
    <t>Sun Tekstil Sanayi ve Ticaret A.Ş.</t>
  </si>
  <si>
    <t>Yayla Agro Gıda Sanayi ve Ticaret A.Ş.</t>
  </si>
  <si>
    <t>Şeker Gayrimenkul Yatırım Ortaklığı A.Ş.</t>
  </si>
  <si>
    <t>Europen Endüstri İnşaat Sanayi ve Ticaret A.Ş.</t>
  </si>
  <si>
    <t>Pardus Girişim Sermayesi Yatırım Ortaklığı A.Ş.</t>
  </si>
  <si>
    <t>Makim Makina Teknolojileri Sanayi ve Ticaret A.Ş.</t>
  </si>
  <si>
    <t>Kocaer Çelik Sanayi ve Ticaret A.Ş.</t>
  </si>
  <si>
    <t>Rubenis Tekstil Sanayi Ticaret A.Ş.</t>
  </si>
  <si>
    <t>13-15/04/2022</t>
  </si>
  <si>
    <t>21-22/04/2022</t>
  </si>
  <si>
    <t>20-22/04/2022</t>
  </si>
  <si>
    <t>11-13/05/2022</t>
  </si>
  <si>
    <t>01-02/06/2022</t>
  </si>
  <si>
    <t>02-03/06/2022</t>
  </si>
  <si>
    <t>09-10/06/2022</t>
  </si>
  <si>
    <t>22-24/06/2022</t>
  </si>
  <si>
    <t>29-30/06/2022</t>
  </si>
  <si>
    <t>Sabit Fiyatla TT</t>
  </si>
  <si>
    <t xml:space="preserve"> Fiyat  Aralığıyla TT</t>
  </si>
  <si>
    <t>Borsada Satış-Sabit fiyatla TT</t>
  </si>
  <si>
    <t xml:space="preserve">Garanti Yatırım </t>
  </si>
  <si>
    <t xml:space="preserve">QNB Finans </t>
  </si>
  <si>
    <t xml:space="preserve">Şeker Yatırım </t>
  </si>
  <si>
    <t xml:space="preserve">T. Sınai Kalk. Bank. </t>
  </si>
  <si>
    <t>Kiler Holding A.Ş.</t>
  </si>
  <si>
    <t>Koroplast Temizlik Ambalaj Ürünleri Sanayi ve Dış Ticaret A.Ş.</t>
  </si>
  <si>
    <t>Obase Bilgisayar ve Danışmanlık Hizmetleri Ticaret A.Ş.</t>
  </si>
  <si>
    <t>Barem Ambalaj Sanayi ve Ticaret A.Ş.</t>
  </si>
  <si>
    <t>Aztek Teknoloji Ürünleri Ticaret A.Ş.</t>
  </si>
  <si>
    <t>Hidropar Hareket Kontrol Teknolojileri Merkezi Sanayi ve Ticaret A.Ş.</t>
  </si>
  <si>
    <t>Alfa Solar Enerji Sanayi ve Ticaret A.Ş.</t>
  </si>
  <si>
    <t xml:space="preserve">Sanica Isı Sanayi A.Ş. </t>
  </si>
  <si>
    <t>Özsu Balık Üretim A.Ş.</t>
  </si>
  <si>
    <t>Platform Turizm Taşımacılık Gıda İnşaat Temizlik Hizmetleri Sanayi ve Ticaret A.Ş.</t>
  </si>
  <si>
    <t>Birikim Varlık Yönetim A.Ş.</t>
  </si>
  <si>
    <t>Ahlatcı Doğal Gaz Dağıtım Enerji ve Yatırım A.Ş.</t>
  </si>
  <si>
    <t>Tera Yatırım Menkul Değerler A.Ş.</t>
  </si>
  <si>
    <t>EYG Gayrimenkul Yatırım Ortaklığı A.Ş.</t>
  </si>
  <si>
    <t>30/06-01/07/2022</t>
  </si>
  <si>
    <t>20-22/07/2022</t>
  </si>
  <si>
    <t>28-29/07/2022</t>
  </si>
  <si>
    <t>03-04/08/2022</t>
  </si>
  <si>
    <t>10-12/08/2022</t>
  </si>
  <si>
    <t>09-11/11/2022</t>
  </si>
  <si>
    <t>15-18/11/2022</t>
  </si>
  <si>
    <t>22-23/11/2022</t>
  </si>
  <si>
    <t>08-09/12/2022</t>
  </si>
  <si>
    <t>14-15-16/12/2022</t>
  </si>
  <si>
    <t>15-16/12/2022</t>
  </si>
  <si>
    <t>22-23/12/2022</t>
  </si>
  <si>
    <t xml:space="preserve">Tacirler Yatırım Menkul Değerler A.Ş. </t>
  </si>
  <si>
    <t>Yapı Kredi Yatırım Menkul Değerler A.Ş.</t>
  </si>
  <si>
    <t>Ziraat Yatırım Menkul Değerler A.Ş.</t>
  </si>
  <si>
    <t>İnfo Yatırım Menkul Değerler A.Ş.</t>
  </si>
  <si>
    <t xml:space="preserve">A1 Capital Yatırım Menkul Değerler A.Ş. </t>
  </si>
  <si>
    <t>Deniz Yatırım Menkul Değerler A.Ş.</t>
  </si>
  <si>
    <t>Gedik Yatırım Menkul Değerler A.Ş.
İntegral Yatırım Menkul Değerler A.Ş.</t>
  </si>
  <si>
    <t>Gedik Yatırım Menkul Değerler A.Ş.</t>
  </si>
  <si>
    <t>Halk Yatırım Menkul Kıymetler A.Ş.</t>
  </si>
  <si>
    <t>Panelsan Çatı Cephe Sistemleri Sanayi ve Ticaret A.Ş.</t>
  </si>
  <si>
    <t>9-11/02/2022</t>
  </si>
  <si>
    <t>Sabit Fiyatla Talep Toplama</t>
  </si>
  <si>
    <t>Hun Yenilenebilir Enerji Üretim A.Ş.</t>
  </si>
  <si>
    <t>15-16/02/2022</t>
  </si>
  <si>
    <t>Borsada Sabit Fiyatla Talep Toplama</t>
  </si>
  <si>
    <t>Dap Gayrimenkul Geliştirme A.Ş.</t>
  </si>
  <si>
    <t>15-18/02/2022</t>
  </si>
  <si>
    <t>Garanti Yatırım Menkul Kıymetler A.Ş.</t>
  </si>
  <si>
    <t>Investco Holding A.Ş.</t>
  </si>
  <si>
    <t>22-23/02/2022</t>
  </si>
  <si>
    <t>Metro Yatırım Menkul Kıymetler A.Ş.</t>
  </si>
  <si>
    <t>Hitit Bilgisayar Hizmetleri A.Ş.</t>
  </si>
  <si>
    <t>23-25/02/2022</t>
  </si>
  <si>
    <t>Ünlü Menkul Değerler A.Ş.</t>
  </si>
  <si>
    <t>11,50-12,50</t>
  </si>
  <si>
    <t>Fiyat Aralığı İle Talep Toplama</t>
  </si>
  <si>
    <t>Koleksiyon Mobilya Sanayi A.Ş.</t>
  </si>
  <si>
    <t>24-25/02/2022</t>
  </si>
  <si>
    <t>Oyak Yatırım Menkul Değerler A.Ş.</t>
  </si>
  <si>
    <t>Gezinomi Seyahat Turizm Ticaret A.Ş.</t>
  </si>
  <si>
    <t>01-02/03/2022</t>
  </si>
  <si>
    <t>Gür-Sel Turizm Taşımacılık ve Servis Ticaret A.Ş.</t>
  </si>
  <si>
    <t>03-04/03/2022</t>
  </si>
  <si>
    <t>Ensari Deri Gıda Sanayi ve Ticaret A.Ş.</t>
  </si>
  <si>
    <t>16-17/03/2022</t>
  </si>
  <si>
    <t>Borsada Satış-Sabit fiyatla Talep Toplama</t>
  </si>
  <si>
    <t>Smart Güneş Enerjisi Teknolojileri Araştırma Geliştirme Üretim Sanayi ve Ticaret A.Ş.</t>
  </si>
  <si>
    <t>16-17-18/03/2022</t>
  </si>
  <si>
    <t>LDR Turizm A.Ş.</t>
  </si>
  <si>
    <t>29-30/03/2022</t>
  </si>
  <si>
    <t>Consus Enerji İşletmeciliği ve Hizmetleri A.Ş.</t>
  </si>
  <si>
    <t>14-15/04/2022</t>
  </si>
  <si>
    <t>QNB Finans Yatırım ve TSKB (Eş Lider)</t>
  </si>
  <si>
    <t>Ahlatcı Yatırım (Konsorsiyum Lideri)</t>
  </si>
  <si>
    <t xml:space="preserve">Tera Yat.  (Kons. Lideri) Alnus Yat. (Eş Lider)              </t>
  </si>
  <si>
    <t xml:space="preserve">Deniz Yatırım, QNB Finans </t>
  </si>
  <si>
    <t xml:space="preserve">TSKB, Yatırım Finansman (konsorsiyum) </t>
  </si>
  <si>
    <t>A1 Capital Yatırım (konsorsiyum)</t>
  </si>
  <si>
    <t>Garanti Yat., Yapı Kredi Yat. (konsorsiyum)</t>
  </si>
  <si>
    <t>A1 Capital Yatırım</t>
  </si>
  <si>
    <t>Halk Yatırım (konsorsiyum)</t>
  </si>
  <si>
    <t>QNB Finans Yatırım (konsorsiyum)</t>
  </si>
  <si>
    <t>Ahlatcı Yatırım (konsorsiyum)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</si>
</sst>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3" tint="0.39997558519241921"/>
      <name val="Calibri"/>
      <family val="2"/>
      <charset val="162"/>
      <scheme val="minor"/>
    </font>
    <font>
      <b/>
      <sz val="12"/>
      <color theme="4" tint="-0.249977111117893"/>
      <name val="Calibri"/>
      <family val="2"/>
      <charset val="162"/>
      <scheme val="minor"/>
    </font>
    <font>
      <sz val="12"/>
      <color theme="4" tint="-0.249977111117893"/>
      <name val="Calibri"/>
      <family val="2"/>
      <charset val="162"/>
      <scheme val="minor"/>
    </font>
    <font>
      <b/>
      <sz val="14"/>
      <color theme="3" tint="0.39997558519241921"/>
      <name val="Calibri"/>
      <family val="2"/>
      <charset val="162"/>
      <scheme val="minor"/>
    </font>
    <font>
      <b/>
      <u val="double"/>
      <sz val="20"/>
      <color theme="4" tint="-0.249977111117893"/>
      <name val="Calibri"/>
      <family val="2"/>
      <charset val="162"/>
      <scheme val="minor"/>
    </font>
    <font>
      <sz val="11"/>
      <color theme="1"/>
      <name val="Calibri"/>
      <scheme val="minor"/>
    </font>
    <font>
      <sz val="10"/>
      <name val="Arial"/>
      <family val="2"/>
      <charset val="162"/>
    </font>
    <font>
      <b/>
      <u val="double"/>
      <sz val="18"/>
      <color theme="4" tint="-0.249977111117893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0" fillId="0" borderId="0" xfId="0" applyFill="1"/>
    <xf numFmtId="0" fontId="0" fillId="2" borderId="0" xfId="0" applyFill="1" applyBorder="1"/>
    <xf numFmtId="0" fontId="4" fillId="2" borderId="0" xfId="0" applyFont="1" applyFill="1" applyBorder="1"/>
    <xf numFmtId="4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right"/>
    </xf>
    <xf numFmtId="14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" fontId="5" fillId="0" borderId="2" xfId="0" applyNumberFormat="1" applyFont="1" applyFill="1" applyBorder="1" applyAlignment="1">
      <alignment horizontal="right"/>
    </xf>
    <xf numFmtId="4" fontId="6" fillId="0" borderId="3" xfId="0" applyNumberFormat="1" applyFont="1" applyFill="1" applyBorder="1" applyAlignment="1">
      <alignment horizontal="right"/>
    </xf>
    <xf numFmtId="0" fontId="7" fillId="0" borderId="3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wrapText="1"/>
    </xf>
    <xf numFmtId="0" fontId="0" fillId="0" borderId="3" xfId="0" applyFont="1" applyFill="1" applyBorder="1" applyAlignment="1"/>
    <xf numFmtId="4" fontId="0" fillId="0" borderId="3" xfId="0" applyNumberFormat="1" applyFont="1" applyFill="1" applyBorder="1" applyAlignment="1">
      <alignment horizontal="right"/>
    </xf>
    <xf numFmtId="14" fontId="0" fillId="0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5" fillId="0" borderId="3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3" fontId="0" fillId="0" borderId="3" xfId="0" applyNumberFormat="1" applyFont="1" applyFill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4" fontId="3" fillId="0" borderId="3" xfId="0" applyNumberFormat="1" applyFont="1" applyFill="1" applyBorder="1" applyAlignment="1">
      <alignment horizontal="right"/>
    </xf>
    <xf numFmtId="14" fontId="9" fillId="0" borderId="3" xfId="0" applyNumberFormat="1" applyFont="1" applyFill="1" applyBorder="1" applyAlignment="1">
      <alignment horizontal="center"/>
    </xf>
    <xf numFmtId="14" fontId="9" fillId="0" borderId="3" xfId="0" applyNumberFormat="1" applyFont="1" applyFill="1" applyBorder="1" applyAlignment="1">
      <alignment horizontal="center"/>
    </xf>
    <xf numFmtId="3" fontId="9" fillId="0" borderId="3" xfId="0" applyNumberFormat="1" applyFont="1" applyFill="1" applyBorder="1" applyAlignment="1">
      <alignment horizontal="right"/>
    </xf>
    <xf numFmtId="3" fontId="0" fillId="0" borderId="3" xfId="0" applyNumberFormat="1" applyFont="1" applyFill="1" applyBorder="1" applyAlignment="1"/>
    <xf numFmtId="3" fontId="9" fillId="0" borderId="3" xfId="0" applyNumberFormat="1" applyFont="1" applyFill="1" applyBorder="1" applyAlignment="1"/>
    <xf numFmtId="14" fontId="0" fillId="0" borderId="3" xfId="0" applyNumberFormat="1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14" fontId="1" fillId="2" borderId="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3" xfId="0" applyNumberFormat="1" applyFont="1" applyFill="1" applyBorder="1" applyAlignment="1">
      <alignment horizontal="center" wrapText="1"/>
    </xf>
    <xf numFmtId="4" fontId="9" fillId="0" borderId="3" xfId="0" applyNumberFormat="1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</cellXfs>
  <cellStyles count="2">
    <cellStyle name="Normal" xfId="0" builtinId="0"/>
    <cellStyle name="Normal 3" xfId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2:S44" totalsRowShown="0" headerRowDxfId="34" dataDxfId="32" headerRowBorderDxfId="33" tableBorderDxfId="31">
  <autoFilter ref="A2:S44"/>
  <sortState ref="A3:S26">
    <sortCondition ref="C2:C26"/>
  </sortState>
  <tableColumns count="19">
    <tableColumn id="1" name="Sıra              " dataDxfId="30" totalsRowDxfId="29"/>
    <tableColumn id="2" name="Şirket Adı" dataDxfId="28" totalsRowDxfId="27"/>
    <tableColumn id="6" name="İzahname Onay_x000a_Kurul Karar Tarihi" dataDxfId="26" totalsRowDxfId="25"/>
    <tableColumn id="19" name="Halka Arz Tarihi_x000a_" totalsRowDxfId="24"/>
    <tableColumn id="18" name="Borsada İşlem Görme Tarihi" totalsRowDxfId="23"/>
    <tableColumn id="20" name="Halka Arza Aracılık Eden Yetkili Kuruluş" dataDxfId="22" totalsRowDxfId="21"/>
    <tableColumn id="21" name="İşlem Gördüğü Pazar" dataDxfId="20" totalsRowDxfId="19"/>
    <tableColumn id="9" name="Toplanan Fon Miktarı (TL)*" dataDxfId="18" totalsRowDxfId="17"/>
    <tableColumn id="10" name="Toplanan Fon Miktarı (USD)" dataDxfId="16" totalsRowDxfId="15"/>
    <tableColumn id="7" name="Mevcut Sermaye (TL)" totalsRowDxfId="14"/>
    <tableColumn id="4" name="Halka Arz Sonrası Sermaye (TL)" totalsRowDxfId="13"/>
    <tableColumn id="3" name="Halka Arz Edilen Pay (Nominal TL)" dataDxfId="12" totalsRowDxfId="11">
      <calculatedColumnFormula>Table3[[#This Row],[Nominal Sermaye Artış Tutarı (TL)]]+Table3[[#This Row],[Nominal Ortak Satış Tutarı (TL)]]+#REF!</calculatedColumnFormula>
    </tableColumn>
    <tableColumn id="11" name="Nominal Sermaye Artış Tutarı (TL)" dataDxfId="10" totalsRowDxfId="9"/>
    <tableColumn id="12" name="Nominal Ortak Satış Tutarı (TL)" dataDxfId="8" totalsRowDxfId="7"/>
    <tableColumn id="16" name="Halka Arz Fiyatı (TL)" totalsRowDxfId="6"/>
    <tableColumn id="15" name="Talep Edilen Pay (Nominal TL)" totalsRowDxfId="5"/>
    <tableColumn id="14" name="Talebin Halka Arza Oranı" dataDxfId="4" totalsRowDxfId="3">
      <calculatedColumnFormula>Table3[[#This Row],[Talep Edilen Pay (Nominal TL)]]/Table3[[#This Row],[Halka Arz Edilen Pay (Nominal TL)]]</calculatedColumnFormula>
    </tableColumn>
    <tableColumn id="5" name="Dağıtımı Yapılan Yatırımcı Sayısı" totalsRowDxfId="2"/>
    <tableColumn id="13" name="Satış Yöntemi**" dataDxfId="1" totals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3" sqref="B23"/>
    </sheetView>
  </sheetViews>
  <sheetFormatPr defaultRowHeight="15" x14ac:dyDescent="0.25"/>
  <cols>
    <col min="1" max="1" width="6.42578125" customWidth="1"/>
    <col min="2" max="2" width="76" customWidth="1"/>
    <col min="3" max="3" width="14.7109375" customWidth="1"/>
    <col min="4" max="4" width="23.42578125" bestFit="1" customWidth="1"/>
    <col min="5" max="5" width="14.7109375" customWidth="1"/>
    <col min="6" max="6" width="43.5703125" style="38" customWidth="1"/>
    <col min="7" max="7" width="18.140625" customWidth="1"/>
    <col min="8" max="8" width="17.28515625" customWidth="1"/>
    <col min="9" max="12" width="17.7109375" customWidth="1"/>
    <col min="13" max="13" width="18" bestFit="1" customWidth="1"/>
    <col min="14" max="14" width="17.85546875" customWidth="1"/>
    <col min="15" max="15" width="14.5703125" customWidth="1"/>
    <col min="16" max="16" width="17.42578125" bestFit="1" customWidth="1"/>
    <col min="17" max="18" width="14.5703125" customWidth="1"/>
    <col min="19" max="19" width="32.5703125" bestFit="1" customWidth="1"/>
  </cols>
  <sheetData>
    <row r="1" spans="1:19" s="22" customFormat="1" ht="26.25" x14ac:dyDescent="0.25">
      <c r="A1" s="41" t="s">
        <v>24</v>
      </c>
      <c r="B1" s="41"/>
      <c r="C1" s="41"/>
      <c r="D1" s="41"/>
      <c r="E1" s="41"/>
      <c r="F1" s="41"/>
      <c r="G1" s="41"/>
      <c r="H1" s="41"/>
      <c r="I1" s="41"/>
      <c r="J1" s="26"/>
      <c r="K1" s="23"/>
      <c r="L1" s="24"/>
    </row>
    <row r="2" spans="1:19" ht="45" x14ac:dyDescent="0.25">
      <c r="A2" s="21" t="s">
        <v>10</v>
      </c>
      <c r="B2" s="21" t="s">
        <v>9</v>
      </c>
      <c r="C2" s="19" t="s">
        <v>8</v>
      </c>
      <c r="D2" s="19" t="s">
        <v>11</v>
      </c>
      <c r="E2" s="19" t="s">
        <v>6</v>
      </c>
      <c r="F2" s="19" t="s">
        <v>7</v>
      </c>
      <c r="G2" s="19" t="s">
        <v>5</v>
      </c>
      <c r="H2" s="20" t="s">
        <v>4</v>
      </c>
      <c r="I2" s="20" t="s">
        <v>13</v>
      </c>
      <c r="J2" s="20" t="s">
        <v>23</v>
      </c>
      <c r="K2" s="20" t="s">
        <v>14</v>
      </c>
      <c r="L2" s="20" t="s">
        <v>21</v>
      </c>
      <c r="M2" s="19" t="s">
        <v>3</v>
      </c>
      <c r="N2" s="19" t="s">
        <v>2</v>
      </c>
      <c r="O2" s="19" t="s">
        <v>19</v>
      </c>
      <c r="P2" s="19" t="s">
        <v>15</v>
      </c>
      <c r="Q2" s="19" t="s">
        <v>16</v>
      </c>
      <c r="R2" s="19" t="s">
        <v>17</v>
      </c>
      <c r="S2" s="19" t="s">
        <v>18</v>
      </c>
    </row>
    <row r="3" spans="1:19" s="1" customFormat="1" ht="15" customHeight="1" x14ac:dyDescent="0.25">
      <c r="A3" s="13">
        <v>1</v>
      </c>
      <c r="B3" s="16" t="s">
        <v>88</v>
      </c>
      <c r="C3" s="11">
        <v>44588</v>
      </c>
      <c r="D3" s="18" t="s">
        <v>89</v>
      </c>
      <c r="E3" s="14">
        <v>44610</v>
      </c>
      <c r="F3" s="35" t="s">
        <v>86</v>
      </c>
      <c r="G3" s="18" t="s">
        <v>1</v>
      </c>
      <c r="H3" s="27">
        <v>214199999.99999997</v>
      </c>
      <c r="I3" s="27">
        <v>15874545.144627333</v>
      </c>
      <c r="J3" s="27">
        <v>57500000</v>
      </c>
      <c r="K3" s="27">
        <v>75000000</v>
      </c>
      <c r="L3" s="27">
        <v>21000000</v>
      </c>
      <c r="M3" s="33">
        <v>17500000</v>
      </c>
      <c r="N3" s="27">
        <v>3500000</v>
      </c>
      <c r="O3" s="17">
        <v>10.199999999999999</v>
      </c>
      <c r="P3" s="27">
        <v>167899000</v>
      </c>
      <c r="Q3" s="17">
        <v>7.9951904761904764</v>
      </c>
      <c r="R3" s="27">
        <v>42122</v>
      </c>
      <c r="S3" s="39" t="s">
        <v>90</v>
      </c>
    </row>
    <row r="4" spans="1:19" s="1" customFormat="1" ht="15" customHeight="1" x14ac:dyDescent="0.25">
      <c r="A4" s="13">
        <v>2</v>
      </c>
      <c r="B4" s="16" t="s">
        <v>91</v>
      </c>
      <c r="C4" s="31">
        <v>44602</v>
      </c>
      <c r="D4" s="18" t="s">
        <v>92</v>
      </c>
      <c r="E4" s="14">
        <v>44613</v>
      </c>
      <c r="F4" s="35" t="s">
        <v>82</v>
      </c>
      <c r="G4" s="30" t="s">
        <v>1</v>
      </c>
      <c r="H4" s="27">
        <v>236600000</v>
      </c>
      <c r="I4" s="32">
        <v>17377381.494484186</v>
      </c>
      <c r="J4" s="32">
        <v>500000000</v>
      </c>
      <c r="K4" s="27">
        <v>580000000</v>
      </c>
      <c r="L4" s="27">
        <v>130000000</v>
      </c>
      <c r="M4" s="34">
        <v>80000000</v>
      </c>
      <c r="N4" s="32">
        <v>50000000</v>
      </c>
      <c r="O4" s="17">
        <v>1.82</v>
      </c>
      <c r="P4" s="27">
        <v>383348000</v>
      </c>
      <c r="Q4" s="17">
        <v>2.9488307692307694</v>
      </c>
      <c r="R4" s="27">
        <v>243100</v>
      </c>
      <c r="S4" s="40" t="s">
        <v>93</v>
      </c>
    </row>
    <row r="5" spans="1:19" s="1" customFormat="1" ht="15" customHeight="1" x14ac:dyDescent="0.25">
      <c r="A5" s="13">
        <v>3</v>
      </c>
      <c r="B5" s="16" t="s">
        <v>94</v>
      </c>
      <c r="C5" s="31">
        <v>44602</v>
      </c>
      <c r="D5" s="18" t="s">
        <v>95</v>
      </c>
      <c r="E5" s="14">
        <v>44616</v>
      </c>
      <c r="F5" s="35" t="s">
        <v>96</v>
      </c>
      <c r="G5" s="30" t="s">
        <v>20</v>
      </c>
      <c r="H5" s="27">
        <v>555370000</v>
      </c>
      <c r="I5" s="32">
        <v>40806024.981631152</v>
      </c>
      <c r="J5" s="32">
        <v>200000000</v>
      </c>
      <c r="K5" s="27">
        <v>200000000</v>
      </c>
      <c r="L5" s="27">
        <v>30020000</v>
      </c>
      <c r="M5" s="34">
        <v>0</v>
      </c>
      <c r="N5" s="32">
        <v>30020000</v>
      </c>
      <c r="O5" s="17">
        <v>18.5</v>
      </c>
      <c r="P5" s="27">
        <v>42049000</v>
      </c>
      <c r="Q5" s="17">
        <v>1.4006995336442372</v>
      </c>
      <c r="R5" s="27">
        <v>45436</v>
      </c>
      <c r="S5" s="40" t="s">
        <v>90</v>
      </c>
    </row>
    <row r="6" spans="1:19" s="1" customFormat="1" ht="15" customHeight="1" x14ac:dyDescent="0.25">
      <c r="A6" s="13">
        <v>4</v>
      </c>
      <c r="B6" s="16" t="s">
        <v>97</v>
      </c>
      <c r="C6" s="31">
        <v>44609</v>
      </c>
      <c r="D6" s="18" t="s">
        <v>98</v>
      </c>
      <c r="E6" s="14">
        <v>44621</v>
      </c>
      <c r="F6" s="35" t="s">
        <v>99</v>
      </c>
      <c r="G6" s="30" t="s">
        <v>20</v>
      </c>
      <c r="H6" s="27">
        <v>900000000</v>
      </c>
      <c r="I6" s="32">
        <v>64102564.102564104</v>
      </c>
      <c r="J6" s="32">
        <v>150000000</v>
      </c>
      <c r="K6" s="27">
        <v>187500000</v>
      </c>
      <c r="L6" s="27">
        <v>37500000</v>
      </c>
      <c r="M6" s="34">
        <v>37500000</v>
      </c>
      <c r="N6" s="32">
        <v>0</v>
      </c>
      <c r="O6" s="17">
        <v>24</v>
      </c>
      <c r="P6" s="27">
        <v>54780000</v>
      </c>
      <c r="Q6" s="17">
        <v>1.4608000000000001</v>
      </c>
      <c r="R6" s="27">
        <v>122203</v>
      </c>
      <c r="S6" s="40" t="s">
        <v>93</v>
      </c>
    </row>
    <row r="7" spans="1:19" s="1" customFormat="1" ht="15" customHeight="1" x14ac:dyDescent="0.25">
      <c r="A7" s="13">
        <v>5</v>
      </c>
      <c r="B7" s="16" t="s">
        <v>100</v>
      </c>
      <c r="C7" s="31">
        <v>44609</v>
      </c>
      <c r="D7" s="18" t="s">
        <v>101</v>
      </c>
      <c r="E7" s="14">
        <v>44623</v>
      </c>
      <c r="F7" s="35" t="s">
        <v>102</v>
      </c>
      <c r="G7" s="30" t="s">
        <v>20</v>
      </c>
      <c r="H7" s="27">
        <v>431105773</v>
      </c>
      <c r="I7" s="32">
        <v>30706632.928523093</v>
      </c>
      <c r="J7" s="32">
        <v>100000000</v>
      </c>
      <c r="K7" s="27">
        <v>127500000</v>
      </c>
      <c r="L7" s="27">
        <v>35192000</v>
      </c>
      <c r="M7" s="34">
        <v>27500000</v>
      </c>
      <c r="N7" s="32">
        <v>7692308</v>
      </c>
      <c r="O7" s="17" t="s">
        <v>103</v>
      </c>
      <c r="P7" s="27">
        <v>103001000</v>
      </c>
      <c r="Q7" s="17">
        <v>2.9268299613548532</v>
      </c>
      <c r="R7" s="27">
        <v>48268</v>
      </c>
      <c r="S7" s="40" t="s">
        <v>104</v>
      </c>
    </row>
    <row r="8" spans="1:19" s="1" customFormat="1" ht="15" customHeight="1" x14ac:dyDescent="0.25">
      <c r="A8" s="13">
        <v>6</v>
      </c>
      <c r="B8" s="16" t="s">
        <v>105</v>
      </c>
      <c r="C8" s="31">
        <v>44609</v>
      </c>
      <c r="D8" s="18" t="s">
        <v>106</v>
      </c>
      <c r="E8" s="14">
        <v>44624</v>
      </c>
      <c r="F8" s="35" t="s">
        <v>107</v>
      </c>
      <c r="G8" s="30" t="s">
        <v>1</v>
      </c>
      <c r="H8" s="27">
        <v>156389680.40000001</v>
      </c>
      <c r="I8" s="32">
        <v>10988285.911019927</v>
      </c>
      <c r="J8" s="32">
        <v>337046732</v>
      </c>
      <c r="K8" s="27">
        <v>431419816</v>
      </c>
      <c r="L8" s="27">
        <v>107854952</v>
      </c>
      <c r="M8" s="34">
        <v>94373084</v>
      </c>
      <c r="N8" s="32">
        <v>13481868</v>
      </c>
      <c r="O8" s="17">
        <v>1.45</v>
      </c>
      <c r="P8" s="27">
        <v>456493000</v>
      </c>
      <c r="Q8" s="17">
        <v>4.2324695192619721</v>
      </c>
      <c r="R8" s="27">
        <v>34037</v>
      </c>
      <c r="S8" s="40" t="s">
        <v>90</v>
      </c>
    </row>
    <row r="9" spans="1:19" s="1" customFormat="1" ht="15" customHeight="1" x14ac:dyDescent="0.25">
      <c r="A9" s="13">
        <v>7</v>
      </c>
      <c r="B9" s="16" t="s">
        <v>108</v>
      </c>
      <c r="C9" s="31">
        <v>44616</v>
      </c>
      <c r="D9" s="18" t="s">
        <v>109</v>
      </c>
      <c r="E9" s="14">
        <v>44628</v>
      </c>
      <c r="F9" s="35" t="s">
        <v>82</v>
      </c>
      <c r="G9" s="30" t="s">
        <v>1</v>
      </c>
      <c r="H9" s="27">
        <v>140000000</v>
      </c>
      <c r="I9" s="32">
        <v>9978617.2487526741</v>
      </c>
      <c r="J9" s="32">
        <v>15000000</v>
      </c>
      <c r="K9" s="27">
        <v>25000000</v>
      </c>
      <c r="L9" s="27">
        <v>10000000</v>
      </c>
      <c r="M9" s="34">
        <v>10000000</v>
      </c>
      <c r="N9" s="32">
        <v>0</v>
      </c>
      <c r="O9" s="17">
        <v>14</v>
      </c>
      <c r="P9" s="27">
        <v>110808000</v>
      </c>
      <c r="Q9" s="17">
        <v>11.0808</v>
      </c>
      <c r="R9" s="27">
        <v>5391</v>
      </c>
      <c r="S9" s="40" t="s">
        <v>90</v>
      </c>
    </row>
    <row r="10" spans="1:19" s="1" customFormat="1" ht="15" customHeight="1" x14ac:dyDescent="0.25">
      <c r="A10" s="13">
        <v>8</v>
      </c>
      <c r="B10" s="16" t="s">
        <v>110</v>
      </c>
      <c r="C10" s="31">
        <v>44616</v>
      </c>
      <c r="D10" s="18" t="s">
        <v>111</v>
      </c>
      <c r="E10" s="14">
        <v>44629</v>
      </c>
      <c r="F10" s="35" t="s">
        <v>82</v>
      </c>
      <c r="G10" s="30" t="s">
        <v>1</v>
      </c>
      <c r="H10" s="27">
        <v>181500000</v>
      </c>
      <c r="I10" s="32">
        <v>12802787.692394508</v>
      </c>
      <c r="J10" s="32">
        <v>87000000</v>
      </c>
      <c r="K10" s="27">
        <v>102000000</v>
      </c>
      <c r="L10" s="27">
        <v>22000000</v>
      </c>
      <c r="M10" s="34">
        <v>15000000</v>
      </c>
      <c r="N10" s="32">
        <v>7000000</v>
      </c>
      <c r="O10" s="17">
        <v>8.25</v>
      </c>
      <c r="P10" s="27">
        <v>88032000</v>
      </c>
      <c r="Q10" s="17">
        <v>4.0014545454545454</v>
      </c>
      <c r="R10" s="27">
        <v>256544</v>
      </c>
      <c r="S10" s="40" t="s">
        <v>90</v>
      </c>
    </row>
    <row r="11" spans="1:19" s="1" customFormat="1" ht="15" customHeight="1" x14ac:dyDescent="0.25">
      <c r="A11" s="13">
        <v>9</v>
      </c>
      <c r="B11" s="16" t="s">
        <v>112</v>
      </c>
      <c r="C11" s="31">
        <v>44630</v>
      </c>
      <c r="D11" s="18" t="s">
        <v>113</v>
      </c>
      <c r="E11" s="14">
        <v>44642</v>
      </c>
      <c r="F11" s="35" t="s">
        <v>99</v>
      </c>
      <c r="G11" s="30" t="s">
        <v>1</v>
      </c>
      <c r="H11" s="27">
        <v>119000000</v>
      </c>
      <c r="I11" s="32">
        <v>8060146.3018152267</v>
      </c>
      <c r="J11" s="32">
        <v>30000000</v>
      </c>
      <c r="K11" s="27">
        <v>36500000</v>
      </c>
      <c r="L11" s="27">
        <v>8500000</v>
      </c>
      <c r="M11" s="34">
        <v>6500000</v>
      </c>
      <c r="N11" s="32">
        <v>2000000</v>
      </c>
      <c r="O11" s="17">
        <v>14</v>
      </c>
      <c r="P11" s="27">
        <v>21763000</v>
      </c>
      <c r="Q11" s="17">
        <v>2.5603529411764705</v>
      </c>
      <c r="R11" s="27">
        <v>258045</v>
      </c>
      <c r="S11" s="40" t="s">
        <v>114</v>
      </c>
    </row>
    <row r="12" spans="1:19" s="1" customFormat="1" ht="14.25" customHeight="1" x14ac:dyDescent="0.25">
      <c r="A12" s="13">
        <v>10</v>
      </c>
      <c r="B12" s="15" t="s">
        <v>115</v>
      </c>
      <c r="C12" s="31">
        <v>44630</v>
      </c>
      <c r="D12" s="18" t="s">
        <v>116</v>
      </c>
      <c r="E12" s="14">
        <v>44644</v>
      </c>
      <c r="F12" s="35" t="s">
        <v>121</v>
      </c>
      <c r="G12" s="30" t="s">
        <v>20</v>
      </c>
      <c r="H12" s="27">
        <v>534912000</v>
      </c>
      <c r="I12" s="32">
        <v>36230831.752912492</v>
      </c>
      <c r="J12" s="32">
        <v>127500000</v>
      </c>
      <c r="K12" s="27">
        <v>153000000</v>
      </c>
      <c r="L12" s="27">
        <v>38208000</v>
      </c>
      <c r="M12" s="34">
        <v>25500000</v>
      </c>
      <c r="N12" s="32">
        <v>12708000</v>
      </c>
      <c r="O12" s="17">
        <v>14</v>
      </c>
      <c r="P12" s="27">
        <v>303741000</v>
      </c>
      <c r="Q12" s="17">
        <v>7.9496702261306531</v>
      </c>
      <c r="R12" s="27">
        <v>101405</v>
      </c>
      <c r="S12" s="40" t="s">
        <v>90</v>
      </c>
    </row>
    <row r="13" spans="1:19" s="1" customFormat="1" ht="15" customHeight="1" x14ac:dyDescent="0.25">
      <c r="A13" s="13">
        <v>11</v>
      </c>
      <c r="B13" s="16" t="s">
        <v>117</v>
      </c>
      <c r="C13" s="31">
        <v>44644</v>
      </c>
      <c r="D13" s="18" t="s">
        <v>118</v>
      </c>
      <c r="E13" s="14">
        <v>44655</v>
      </c>
      <c r="F13" s="35" t="s">
        <v>65</v>
      </c>
      <c r="G13" s="30" t="s">
        <v>20</v>
      </c>
      <c r="H13" s="27">
        <v>380460000</v>
      </c>
      <c r="I13" s="32">
        <v>25977413.31985962</v>
      </c>
      <c r="J13" s="32">
        <v>53000000</v>
      </c>
      <c r="K13" s="27">
        <v>66000000</v>
      </c>
      <c r="L13" s="27">
        <v>20400000</v>
      </c>
      <c r="M13" s="34">
        <v>13000000</v>
      </c>
      <c r="N13" s="32">
        <v>7400000</v>
      </c>
      <c r="O13" s="17">
        <v>18.649999999999999</v>
      </c>
      <c r="P13" s="27">
        <v>63049000</v>
      </c>
      <c r="Q13" s="17">
        <v>3.090637254901961</v>
      </c>
      <c r="R13" s="27">
        <v>294466</v>
      </c>
      <c r="S13" s="40" t="s">
        <v>114</v>
      </c>
    </row>
    <row r="14" spans="1:19" s="1" customFormat="1" ht="15" customHeight="1" x14ac:dyDescent="0.25">
      <c r="A14" s="13">
        <v>12</v>
      </c>
      <c r="B14" s="16" t="s">
        <v>119</v>
      </c>
      <c r="C14" s="31">
        <v>44658</v>
      </c>
      <c r="D14" s="18" t="s">
        <v>120</v>
      </c>
      <c r="E14" s="14">
        <v>44671</v>
      </c>
      <c r="F14" s="35" t="s">
        <v>96</v>
      </c>
      <c r="G14" s="30" t="s">
        <v>20</v>
      </c>
      <c r="H14" s="27">
        <v>519750000</v>
      </c>
      <c r="I14" s="32">
        <v>35555236.316621177</v>
      </c>
      <c r="J14" s="32">
        <v>333000000</v>
      </c>
      <c r="K14" s="27">
        <v>385500000</v>
      </c>
      <c r="L14" s="27">
        <v>115500000</v>
      </c>
      <c r="M14" s="34">
        <v>52500000</v>
      </c>
      <c r="N14" s="32">
        <v>63000000</v>
      </c>
      <c r="O14" s="17">
        <v>4.5</v>
      </c>
      <c r="P14" s="27">
        <v>122433000</v>
      </c>
      <c r="Q14" s="17">
        <v>1.0600259740259741</v>
      </c>
      <c r="R14" s="27">
        <v>173974</v>
      </c>
      <c r="S14" s="40" t="s">
        <v>114</v>
      </c>
    </row>
    <row r="15" spans="1:19" s="1" customFormat="1" ht="15" customHeight="1" x14ac:dyDescent="0.25">
      <c r="A15" s="13">
        <v>13</v>
      </c>
      <c r="B15" s="16" t="s">
        <v>25</v>
      </c>
      <c r="C15" s="31">
        <v>44658</v>
      </c>
      <c r="D15" s="18" t="s">
        <v>37</v>
      </c>
      <c r="E15" s="14">
        <v>44672</v>
      </c>
      <c r="F15" s="35" t="s">
        <v>52</v>
      </c>
      <c r="G15" s="31" t="s">
        <v>20</v>
      </c>
      <c r="H15" s="27">
        <v>425500000</v>
      </c>
      <c r="I15" s="32">
        <v>29107749.981187705</v>
      </c>
      <c r="J15" s="32">
        <v>56000000</v>
      </c>
      <c r="K15" s="27">
        <v>62000000</v>
      </c>
      <c r="L15" s="27">
        <v>23000000</v>
      </c>
      <c r="M15" s="34">
        <v>6000000</v>
      </c>
      <c r="N15" s="32">
        <v>17000000</v>
      </c>
      <c r="O15" s="17">
        <v>18.5</v>
      </c>
      <c r="P15" s="27">
        <v>81035000</v>
      </c>
      <c r="Q15" s="17">
        <v>3.5232608695652172</v>
      </c>
      <c r="R15" s="27">
        <v>68025</v>
      </c>
      <c r="S15" s="40" t="s">
        <v>46</v>
      </c>
    </row>
    <row r="16" spans="1:19" s="1" customFormat="1" ht="15" customHeight="1" x14ac:dyDescent="0.25">
      <c r="A16" s="13">
        <v>14</v>
      </c>
      <c r="B16" s="16" t="s">
        <v>26</v>
      </c>
      <c r="C16" s="31">
        <v>44665</v>
      </c>
      <c r="D16" s="18" t="s">
        <v>38</v>
      </c>
      <c r="E16" s="14">
        <v>44678</v>
      </c>
      <c r="F16" s="35" t="s">
        <v>49</v>
      </c>
      <c r="G16" s="31" t="s">
        <v>1</v>
      </c>
      <c r="H16" s="27">
        <v>190312500</v>
      </c>
      <c r="I16" s="32">
        <v>12940442.516386978</v>
      </c>
      <c r="J16" s="32">
        <v>36525000</v>
      </c>
      <c r="K16" s="27">
        <v>43050000</v>
      </c>
      <c r="L16" s="27">
        <v>10875000</v>
      </c>
      <c r="M16" s="34">
        <v>6525000</v>
      </c>
      <c r="N16" s="32">
        <v>4350000</v>
      </c>
      <c r="O16" s="17">
        <v>17.5</v>
      </c>
      <c r="P16" s="27">
        <v>27473000</v>
      </c>
      <c r="Q16" s="17">
        <v>2.5262528735632186</v>
      </c>
      <c r="R16" s="27">
        <v>209262</v>
      </c>
      <c r="S16" s="40" t="s">
        <v>46</v>
      </c>
    </row>
    <row r="17" spans="1:19" s="1" customFormat="1" ht="15" customHeight="1" x14ac:dyDescent="0.25">
      <c r="A17" s="13">
        <v>15</v>
      </c>
      <c r="B17" s="16" t="s">
        <v>27</v>
      </c>
      <c r="C17" s="31">
        <v>44665</v>
      </c>
      <c r="D17" s="18" t="s">
        <v>39</v>
      </c>
      <c r="E17" s="14">
        <v>44679</v>
      </c>
      <c r="F17" s="35" t="s">
        <v>125</v>
      </c>
      <c r="G17" s="31" t="s">
        <v>20</v>
      </c>
      <c r="H17" s="27">
        <v>957000000</v>
      </c>
      <c r="I17" s="32">
        <v>65071939.510974519</v>
      </c>
      <c r="J17" s="32">
        <v>121550000</v>
      </c>
      <c r="K17" s="27">
        <v>133100000</v>
      </c>
      <c r="L17" s="27">
        <v>33000000</v>
      </c>
      <c r="M17" s="34">
        <v>11550000</v>
      </c>
      <c r="N17" s="32">
        <v>21450000</v>
      </c>
      <c r="O17" s="17">
        <v>29</v>
      </c>
      <c r="P17" s="27">
        <v>54250000</v>
      </c>
      <c r="Q17" s="17">
        <v>1.643939393939394</v>
      </c>
      <c r="R17" s="27">
        <v>36988</v>
      </c>
      <c r="S17" s="40" t="s">
        <v>47</v>
      </c>
    </row>
    <row r="18" spans="1:19" s="1" customFormat="1" ht="15" customHeight="1" x14ac:dyDescent="0.25">
      <c r="A18" s="13">
        <v>16</v>
      </c>
      <c r="B18" s="16" t="s">
        <v>28</v>
      </c>
      <c r="C18" s="31">
        <v>44665</v>
      </c>
      <c r="D18" s="18" t="s">
        <v>39</v>
      </c>
      <c r="E18" s="14">
        <v>44680</v>
      </c>
      <c r="F18" s="35" t="s">
        <v>126</v>
      </c>
      <c r="G18" s="31" t="s">
        <v>1</v>
      </c>
      <c r="H18" s="27">
        <v>210000000</v>
      </c>
      <c r="I18" s="32">
        <v>14279108.983599424</v>
      </c>
      <c r="J18" s="32">
        <v>37000000</v>
      </c>
      <c r="K18" s="27">
        <v>44000000</v>
      </c>
      <c r="L18" s="27">
        <v>14000000</v>
      </c>
      <c r="M18" s="34">
        <v>7000000</v>
      </c>
      <c r="N18" s="32">
        <v>7000000</v>
      </c>
      <c r="O18" s="17">
        <v>15</v>
      </c>
      <c r="P18" s="27">
        <v>33608000</v>
      </c>
      <c r="Q18" s="17">
        <v>2.4005714285714284</v>
      </c>
      <c r="R18" s="27">
        <v>124993</v>
      </c>
      <c r="S18" s="40" t="s">
        <v>46</v>
      </c>
    </row>
    <row r="19" spans="1:19" s="1" customFormat="1" ht="15" customHeight="1" x14ac:dyDescent="0.25">
      <c r="A19" s="13">
        <v>17</v>
      </c>
      <c r="B19" s="16" t="s">
        <v>29</v>
      </c>
      <c r="C19" s="31">
        <v>44679</v>
      </c>
      <c r="D19" s="18" t="s">
        <v>40</v>
      </c>
      <c r="E19" s="14">
        <v>44701</v>
      </c>
      <c r="F19" s="35" t="s">
        <v>50</v>
      </c>
      <c r="G19" s="31" t="s">
        <v>20</v>
      </c>
      <c r="H19" s="27">
        <v>730080000</v>
      </c>
      <c r="I19" s="32">
        <v>47291712.549715638</v>
      </c>
      <c r="J19" s="32">
        <v>135600000</v>
      </c>
      <c r="K19" s="27">
        <v>151200000</v>
      </c>
      <c r="L19" s="27">
        <v>28080000</v>
      </c>
      <c r="M19" s="34">
        <v>15600000</v>
      </c>
      <c r="N19" s="32">
        <v>12480000</v>
      </c>
      <c r="O19" s="17">
        <v>26</v>
      </c>
      <c r="P19" s="27">
        <v>58167000</v>
      </c>
      <c r="Q19" s="17">
        <v>2.0714743589743589</v>
      </c>
      <c r="R19" s="27">
        <v>33178</v>
      </c>
      <c r="S19" s="40" t="s">
        <v>46</v>
      </c>
    </row>
    <row r="20" spans="1:19" s="1" customFormat="1" ht="14.25" customHeight="1" x14ac:dyDescent="0.25">
      <c r="A20" s="13">
        <v>18</v>
      </c>
      <c r="B20" s="16" t="s">
        <v>30</v>
      </c>
      <c r="C20" s="31">
        <v>44673</v>
      </c>
      <c r="D20" s="18" t="s">
        <v>40</v>
      </c>
      <c r="E20" s="14">
        <v>44701</v>
      </c>
      <c r="F20" s="35" t="s">
        <v>127</v>
      </c>
      <c r="G20" s="31" t="s">
        <v>20</v>
      </c>
      <c r="H20" s="27">
        <v>887500000</v>
      </c>
      <c r="I20" s="32">
        <v>57488761.352006115</v>
      </c>
      <c r="J20" s="32">
        <v>472600000</v>
      </c>
      <c r="K20" s="27">
        <v>515200000</v>
      </c>
      <c r="L20" s="27">
        <v>71000000</v>
      </c>
      <c r="M20" s="34">
        <v>42600000</v>
      </c>
      <c r="N20" s="32">
        <v>28400000</v>
      </c>
      <c r="O20" s="17">
        <v>12.5</v>
      </c>
      <c r="P20" s="27">
        <v>187668000</v>
      </c>
      <c r="Q20" s="17">
        <v>2.6432112676056336</v>
      </c>
      <c r="R20" s="27">
        <v>64862</v>
      </c>
      <c r="S20" s="40" t="s">
        <v>46</v>
      </c>
    </row>
    <row r="21" spans="1:19" s="1" customFormat="1" ht="15" customHeight="1" x14ac:dyDescent="0.25">
      <c r="A21" s="13">
        <v>19</v>
      </c>
      <c r="B21" s="16" t="s">
        <v>31</v>
      </c>
      <c r="C21" s="31">
        <v>44707</v>
      </c>
      <c r="D21" s="18" t="s">
        <v>41</v>
      </c>
      <c r="E21" s="14">
        <v>44719</v>
      </c>
      <c r="F21" s="35" t="s">
        <v>51</v>
      </c>
      <c r="G21" s="31" t="s">
        <v>1</v>
      </c>
      <c r="H21" s="27">
        <v>223727703.10000002</v>
      </c>
      <c r="I21" s="32">
        <v>13609568.897134863</v>
      </c>
      <c r="J21" s="32">
        <v>813555000</v>
      </c>
      <c r="K21" s="27">
        <v>1016944000</v>
      </c>
      <c r="L21" s="27">
        <v>203388821</v>
      </c>
      <c r="M21" s="34">
        <v>203388821</v>
      </c>
      <c r="N21" s="32">
        <v>0</v>
      </c>
      <c r="O21" s="17">
        <v>1.1000000000000001</v>
      </c>
      <c r="P21" s="27">
        <v>321776000</v>
      </c>
      <c r="Q21" s="17">
        <v>1.5820717934598232</v>
      </c>
      <c r="R21" s="27">
        <v>151717</v>
      </c>
      <c r="S21" s="40" t="s">
        <v>46</v>
      </c>
    </row>
    <row r="22" spans="1:19" s="1" customFormat="1" ht="15" customHeight="1" x14ac:dyDescent="0.25">
      <c r="A22" s="13">
        <v>20</v>
      </c>
      <c r="B22" s="16" t="s">
        <v>32</v>
      </c>
      <c r="C22" s="31">
        <v>44707</v>
      </c>
      <c r="D22" s="18" t="s">
        <v>42</v>
      </c>
      <c r="E22" s="14">
        <v>44720</v>
      </c>
      <c r="F22" s="35" t="s">
        <v>49</v>
      </c>
      <c r="G22" s="31" t="s">
        <v>20</v>
      </c>
      <c r="H22" s="27">
        <v>548925000</v>
      </c>
      <c r="I22" s="32">
        <v>33315631.353746243</v>
      </c>
      <c r="J22" s="32">
        <v>168780000</v>
      </c>
      <c r="K22" s="27">
        <v>202560000</v>
      </c>
      <c r="L22" s="27">
        <v>33780000</v>
      </c>
      <c r="M22" s="34">
        <v>33780000</v>
      </c>
      <c r="N22" s="32">
        <v>0</v>
      </c>
      <c r="O22" s="17">
        <v>16.25</v>
      </c>
      <c r="P22" s="27">
        <v>36059000</v>
      </c>
      <c r="Q22" s="17">
        <v>1.0674659561870929</v>
      </c>
      <c r="R22" s="27">
        <v>73755</v>
      </c>
      <c r="S22" s="40" t="s">
        <v>46</v>
      </c>
    </row>
    <row r="23" spans="1:19" s="1" customFormat="1" ht="15" customHeight="1" x14ac:dyDescent="0.25">
      <c r="A23" s="13">
        <v>21</v>
      </c>
      <c r="B23" s="16" t="s">
        <v>33</v>
      </c>
      <c r="C23" s="31">
        <v>44714</v>
      </c>
      <c r="D23" s="18" t="s">
        <v>43</v>
      </c>
      <c r="E23" s="14">
        <v>44727</v>
      </c>
      <c r="F23" s="35" t="s">
        <v>128</v>
      </c>
      <c r="G23" s="31" t="s">
        <v>1</v>
      </c>
      <c r="H23" s="27">
        <v>151140000</v>
      </c>
      <c r="I23" s="32">
        <v>8859891.3177285753</v>
      </c>
      <c r="J23" s="32">
        <v>196000000</v>
      </c>
      <c r="K23" s="27">
        <v>251000000</v>
      </c>
      <c r="L23" s="27">
        <v>66000000</v>
      </c>
      <c r="M23" s="32">
        <v>55000000</v>
      </c>
      <c r="N23" s="32">
        <v>11000000</v>
      </c>
      <c r="O23" s="17">
        <v>2.29</v>
      </c>
      <c r="P23" s="27">
        <v>202470000</v>
      </c>
      <c r="Q23" s="17">
        <v>3.0677272727272729</v>
      </c>
      <c r="R23" s="27">
        <v>125497</v>
      </c>
      <c r="S23" s="40" t="s">
        <v>48</v>
      </c>
    </row>
    <row r="24" spans="1:19" s="1" customFormat="1" ht="15" customHeight="1" x14ac:dyDescent="0.25">
      <c r="A24" s="13">
        <v>22</v>
      </c>
      <c r="B24" s="16" t="s">
        <v>34</v>
      </c>
      <c r="C24" s="31">
        <v>44714</v>
      </c>
      <c r="D24" s="18" t="s">
        <v>43</v>
      </c>
      <c r="E24" s="14">
        <v>44729</v>
      </c>
      <c r="F24" s="35" t="s">
        <v>129</v>
      </c>
      <c r="G24" s="31" t="s">
        <v>1</v>
      </c>
      <c r="H24" s="27">
        <v>158400000</v>
      </c>
      <c r="I24" s="32">
        <v>9285475.616833441</v>
      </c>
      <c r="J24" s="32">
        <v>56000000</v>
      </c>
      <c r="K24" s="27">
        <v>56000000</v>
      </c>
      <c r="L24" s="27">
        <v>18000000</v>
      </c>
      <c r="M24" s="32">
        <v>0</v>
      </c>
      <c r="N24" s="32">
        <v>18000000</v>
      </c>
      <c r="O24" s="17">
        <v>8.8000000000000007</v>
      </c>
      <c r="P24" s="27">
        <v>99797000</v>
      </c>
      <c r="Q24" s="17">
        <v>5.5442777777777774</v>
      </c>
      <c r="R24" s="27">
        <v>177496</v>
      </c>
      <c r="S24" s="40" t="s">
        <v>46</v>
      </c>
    </row>
    <row r="25" spans="1:19" s="1" customFormat="1" ht="15" customHeight="1" x14ac:dyDescent="0.25">
      <c r="A25" s="13">
        <v>23</v>
      </c>
      <c r="B25" s="16" t="s">
        <v>35</v>
      </c>
      <c r="C25" s="31">
        <v>44728</v>
      </c>
      <c r="D25" s="18" t="s">
        <v>44</v>
      </c>
      <c r="E25" s="14">
        <v>44742</v>
      </c>
      <c r="F25" s="35" t="s">
        <v>130</v>
      </c>
      <c r="G25" s="31" t="s">
        <v>20</v>
      </c>
      <c r="H25" s="32">
        <v>1542750000</v>
      </c>
      <c r="I25" s="32">
        <v>88930584.858022347</v>
      </c>
      <c r="J25" s="32">
        <v>233500000</v>
      </c>
      <c r="K25" s="27">
        <v>255000000</v>
      </c>
      <c r="L25" s="27">
        <v>56100000</v>
      </c>
      <c r="M25" s="32">
        <v>21500000</v>
      </c>
      <c r="N25" s="32">
        <v>34600000</v>
      </c>
      <c r="O25" s="17">
        <v>27.5</v>
      </c>
      <c r="P25" s="27">
        <v>56603000</v>
      </c>
      <c r="Q25" s="17">
        <v>1.0089661319073084</v>
      </c>
      <c r="R25" s="27">
        <v>45576</v>
      </c>
      <c r="S25" s="40" t="s">
        <v>46</v>
      </c>
    </row>
    <row r="26" spans="1:19" s="1" customFormat="1" ht="15" customHeight="1" x14ac:dyDescent="0.25">
      <c r="A26" s="13">
        <v>24</v>
      </c>
      <c r="B26" s="16" t="s">
        <v>36</v>
      </c>
      <c r="C26" s="31">
        <v>44735</v>
      </c>
      <c r="D26" s="18" t="s">
        <v>45</v>
      </c>
      <c r="E26" s="14">
        <v>44748</v>
      </c>
      <c r="F26" s="35" t="s">
        <v>131</v>
      </c>
      <c r="G26" s="31" t="s">
        <v>20</v>
      </c>
      <c r="H26" s="32">
        <v>306250000</v>
      </c>
      <c r="I26" s="32">
        <v>18380808.335433997</v>
      </c>
      <c r="J26" s="32">
        <v>74500000</v>
      </c>
      <c r="K26" s="27">
        <v>99000000</v>
      </c>
      <c r="L26" s="27">
        <v>24500000</v>
      </c>
      <c r="M26" s="32">
        <v>24500000</v>
      </c>
      <c r="N26" s="32">
        <v>0</v>
      </c>
      <c r="O26" s="17">
        <v>12.5</v>
      </c>
      <c r="P26" s="27">
        <v>39820000</v>
      </c>
      <c r="Q26" s="17">
        <v>1.6253061224489795</v>
      </c>
      <c r="R26" s="27">
        <v>155606</v>
      </c>
      <c r="S26" s="40" t="s">
        <v>46</v>
      </c>
    </row>
    <row r="27" spans="1:19" s="1" customFormat="1" ht="15" customHeight="1" x14ac:dyDescent="0.25">
      <c r="A27" s="13">
        <v>25</v>
      </c>
      <c r="B27" s="16" t="s">
        <v>53</v>
      </c>
      <c r="C27" s="31">
        <v>44735</v>
      </c>
      <c r="D27" s="18" t="s">
        <v>67</v>
      </c>
      <c r="E27" s="14">
        <v>44749</v>
      </c>
      <c r="F27" s="35" t="s">
        <v>79</v>
      </c>
      <c r="G27" s="30" t="s">
        <v>20</v>
      </c>
      <c r="H27" s="32">
        <v>692250000</v>
      </c>
      <c r="I27" s="32">
        <v>41413657.982112415</v>
      </c>
      <c r="J27" s="32">
        <v>650000000</v>
      </c>
      <c r="K27" s="27">
        <f>Table3[[#This Row],[Mevcut Sermaye (TL)]]+Table3[[#This Row],[Nominal Sermaye Artış Tutarı (TL)]]</f>
        <v>650000000</v>
      </c>
      <c r="L27" s="27">
        <v>97500000</v>
      </c>
      <c r="M27" s="32">
        <v>0</v>
      </c>
      <c r="N27" s="32">
        <v>97500000</v>
      </c>
      <c r="O27" s="17">
        <v>7.1</v>
      </c>
      <c r="P27" s="27">
        <v>120795917</v>
      </c>
      <c r="Q27" s="17">
        <v>1.2389324820512821</v>
      </c>
      <c r="R27" s="27">
        <v>44487</v>
      </c>
      <c r="S27" s="40" t="s">
        <v>46</v>
      </c>
    </row>
    <row r="28" spans="1:19" s="1" customFormat="1" ht="15" customHeight="1" x14ac:dyDescent="0.25">
      <c r="A28" s="13">
        <v>26</v>
      </c>
      <c r="B28" s="16" t="s">
        <v>54</v>
      </c>
      <c r="C28" s="31">
        <v>44742</v>
      </c>
      <c r="D28" s="18" t="s">
        <v>68</v>
      </c>
      <c r="E28" s="14">
        <v>44770</v>
      </c>
      <c r="F28" s="35" t="s">
        <v>80</v>
      </c>
      <c r="G28" s="18" t="s">
        <v>20</v>
      </c>
      <c r="H28" s="32">
        <v>367380000</v>
      </c>
      <c r="I28" s="32">
        <v>20743041.047936313</v>
      </c>
      <c r="J28" s="27">
        <v>174600000</v>
      </c>
      <c r="K28" s="27">
        <f>Table3[[#This Row],[Mevcut Sermaye (TL)]]+Table3[[#This Row],[Nominal Sermaye Artış Tutarı (TL)]]</f>
        <v>199200000</v>
      </c>
      <c r="L28" s="27">
        <v>78500000</v>
      </c>
      <c r="M28" s="32">
        <v>24600000</v>
      </c>
      <c r="N28" s="27">
        <v>53900000</v>
      </c>
      <c r="O28" s="17">
        <v>4.68</v>
      </c>
      <c r="P28" s="27">
        <v>456645000</v>
      </c>
      <c r="Q28" s="17">
        <v>5.8171337579617832</v>
      </c>
      <c r="R28" s="27">
        <v>104157</v>
      </c>
      <c r="S28" s="39" t="s">
        <v>46</v>
      </c>
    </row>
    <row r="29" spans="1:19" s="1" customFormat="1" ht="15" customHeight="1" x14ac:dyDescent="0.25">
      <c r="A29" s="13">
        <v>27</v>
      </c>
      <c r="B29" s="16" t="s">
        <v>55</v>
      </c>
      <c r="C29" s="31">
        <v>44763</v>
      </c>
      <c r="D29" s="18" t="s">
        <v>69</v>
      </c>
      <c r="E29" s="14">
        <v>44776</v>
      </c>
      <c r="F29" s="35" t="s">
        <v>81</v>
      </c>
      <c r="G29" s="18" t="s">
        <v>1</v>
      </c>
      <c r="H29" s="32">
        <v>147000000</v>
      </c>
      <c r="I29" s="32">
        <v>8215090.0586233307</v>
      </c>
      <c r="J29" s="27">
        <v>45500000</v>
      </c>
      <c r="K29" s="27">
        <f>Table3[[#This Row],[Mevcut Sermaye (TL)]]+Table3[[#This Row],[Nominal Sermaye Artış Tutarı (TL)]]</f>
        <v>56000000</v>
      </c>
      <c r="L29" s="27">
        <v>14000000</v>
      </c>
      <c r="M29" s="32">
        <v>10500000</v>
      </c>
      <c r="N29" s="27">
        <v>3500000</v>
      </c>
      <c r="O29" s="17">
        <v>10.5</v>
      </c>
      <c r="P29" s="27">
        <v>51724000</v>
      </c>
      <c r="Q29" s="17">
        <v>3.6945714285714284</v>
      </c>
      <c r="R29" s="27">
        <v>305665</v>
      </c>
      <c r="S29" s="39" t="s">
        <v>48</v>
      </c>
    </row>
    <row r="30" spans="1:19" s="1" customFormat="1" ht="15" customHeight="1" x14ac:dyDescent="0.25">
      <c r="A30" s="13">
        <v>28</v>
      </c>
      <c r="B30" s="16" t="s">
        <v>56</v>
      </c>
      <c r="C30" s="31">
        <v>44770</v>
      </c>
      <c r="D30" s="18" t="s">
        <v>70</v>
      </c>
      <c r="E30" s="14">
        <v>44783</v>
      </c>
      <c r="F30" s="35" t="s">
        <v>82</v>
      </c>
      <c r="G30" s="18" t="s">
        <v>20</v>
      </c>
      <c r="H30" s="32">
        <v>378000000</v>
      </c>
      <c r="I30" s="32">
        <v>21076108.168385841</v>
      </c>
      <c r="J30" s="27">
        <v>52500000</v>
      </c>
      <c r="K30" s="27">
        <f>Table3[[#This Row],[Mevcut Sermaye (TL)]]+Table3[[#This Row],[Nominal Sermaye Artış Tutarı (TL)]]</f>
        <v>60000000</v>
      </c>
      <c r="L30" s="27">
        <v>10500000</v>
      </c>
      <c r="M30" s="32">
        <v>7500000</v>
      </c>
      <c r="N30" s="27">
        <v>3000000</v>
      </c>
      <c r="O30" s="17">
        <v>36</v>
      </c>
      <c r="P30" s="27">
        <v>24692000</v>
      </c>
      <c r="Q30" s="17">
        <v>2.3516190476190477</v>
      </c>
      <c r="R30" s="27">
        <v>277158</v>
      </c>
      <c r="S30" s="39" t="s">
        <v>48</v>
      </c>
    </row>
    <row r="31" spans="1:19" s="1" customFormat="1" x14ac:dyDescent="0.25">
      <c r="A31" s="13">
        <v>29</v>
      </c>
      <c r="B31" s="16" t="s">
        <v>57</v>
      </c>
      <c r="C31" s="31">
        <v>44777</v>
      </c>
      <c r="D31" s="18" t="s">
        <v>71</v>
      </c>
      <c r="E31" s="14">
        <v>44790</v>
      </c>
      <c r="F31" s="35" t="s">
        <v>124</v>
      </c>
      <c r="G31" s="18" t="s">
        <v>1</v>
      </c>
      <c r="H31" s="32">
        <v>272500000</v>
      </c>
      <c r="I31" s="32">
        <v>15192399.897416458</v>
      </c>
      <c r="J31" s="27">
        <v>100000000</v>
      </c>
      <c r="K31" s="27">
        <f>Table3[[#This Row],[Mevcut Sermaye (TL)]]+Table3[[#This Row],[Nominal Sermaye Artış Tutarı (TL)]]</f>
        <v>120000000</v>
      </c>
      <c r="L31" s="27">
        <v>25000000</v>
      </c>
      <c r="M31" s="32">
        <v>20000000</v>
      </c>
      <c r="N31" s="27">
        <v>5000000</v>
      </c>
      <c r="O31" s="17">
        <v>10.9</v>
      </c>
      <c r="P31" s="27">
        <v>726637000</v>
      </c>
      <c r="Q31" s="17">
        <v>29.065480000000001</v>
      </c>
      <c r="R31" s="27">
        <v>200092</v>
      </c>
      <c r="S31" s="39" t="s">
        <v>46</v>
      </c>
    </row>
    <row r="32" spans="1:19" s="1" customFormat="1" ht="15" customHeight="1" x14ac:dyDescent="0.25">
      <c r="A32" s="13">
        <v>30</v>
      </c>
      <c r="B32" s="16" t="s">
        <v>58</v>
      </c>
      <c r="C32" s="31">
        <v>44777</v>
      </c>
      <c r="D32" s="18" t="s">
        <v>71</v>
      </c>
      <c r="E32" s="14">
        <v>44791</v>
      </c>
      <c r="F32" s="35" t="s">
        <v>83</v>
      </c>
      <c r="G32" s="18" t="s">
        <v>1</v>
      </c>
      <c r="H32" s="32">
        <v>132000000</v>
      </c>
      <c r="I32" s="32">
        <v>7359254.2622347604</v>
      </c>
      <c r="J32" s="27">
        <v>35000000</v>
      </c>
      <c r="K32" s="27">
        <f>Table3[[#This Row],[Mevcut Sermaye (TL)]]+Table3[[#This Row],[Nominal Sermaye Artış Tutarı (TL)]]</f>
        <v>45000000</v>
      </c>
      <c r="L32" s="27">
        <v>12000000</v>
      </c>
      <c r="M32" s="32">
        <v>10000000</v>
      </c>
      <c r="N32" s="27">
        <v>2000000</v>
      </c>
      <c r="O32" s="17">
        <v>11</v>
      </c>
      <c r="P32" s="27">
        <v>67030000</v>
      </c>
      <c r="Q32" s="17">
        <v>5.5858333333333334</v>
      </c>
      <c r="R32" s="27">
        <v>303681</v>
      </c>
      <c r="S32" s="39" t="s">
        <v>48</v>
      </c>
    </row>
    <row r="33" spans="1:19" s="1" customFormat="1" ht="15" customHeight="1" x14ac:dyDescent="0.25">
      <c r="A33" s="13">
        <v>31</v>
      </c>
      <c r="B33" s="16" t="s">
        <v>59</v>
      </c>
      <c r="C33" s="31">
        <v>44868</v>
      </c>
      <c r="D33" s="18" t="s">
        <v>72</v>
      </c>
      <c r="E33" s="14">
        <v>44881</v>
      </c>
      <c r="F33" s="35" t="s">
        <v>84</v>
      </c>
      <c r="G33" s="18" t="s">
        <v>20</v>
      </c>
      <c r="H33" s="32">
        <v>538200000</v>
      </c>
      <c r="I33" s="32">
        <v>29073818.977392428</v>
      </c>
      <c r="J33" s="27">
        <v>46000000</v>
      </c>
      <c r="K33" s="27">
        <f>Table3[[#This Row],[Mevcut Sermaye (TL)]]+Table3[[#This Row],[Nominal Sermaye Artış Tutarı (TL)]]</f>
        <v>52000000</v>
      </c>
      <c r="L33" s="27">
        <v>9200000</v>
      </c>
      <c r="M33" s="32">
        <v>6000000</v>
      </c>
      <c r="N33" s="27">
        <v>3200000</v>
      </c>
      <c r="O33" s="17">
        <v>58.5</v>
      </c>
      <c r="P33" s="27">
        <v>488774000</v>
      </c>
      <c r="Q33" s="17">
        <v>53.127608695652171</v>
      </c>
      <c r="R33" s="27">
        <v>348146</v>
      </c>
      <c r="S33" s="39" t="s">
        <v>46</v>
      </c>
    </row>
    <row r="34" spans="1:19" s="1" customFormat="1" ht="15" customHeight="1" x14ac:dyDescent="0.25">
      <c r="A34" s="13">
        <v>32</v>
      </c>
      <c r="B34" s="16" t="s">
        <v>60</v>
      </c>
      <c r="C34" s="31">
        <v>44876</v>
      </c>
      <c r="D34" s="18" t="s">
        <v>73</v>
      </c>
      <c r="E34" s="14">
        <v>44889</v>
      </c>
      <c r="F34" s="35" t="s">
        <v>85</v>
      </c>
      <c r="G34" s="18" t="s">
        <v>20</v>
      </c>
      <c r="H34" s="32">
        <v>801200000</v>
      </c>
      <c r="I34" s="32">
        <v>43088009.895399176</v>
      </c>
      <c r="J34" s="27">
        <v>135000000</v>
      </c>
      <c r="K34" s="27">
        <f>Table3[[#This Row],[Mevcut Sermaye (TL)]]+Table3[[#This Row],[Nominal Sermaye Artış Tutarı (TL)]]</f>
        <v>170000000</v>
      </c>
      <c r="L34" s="27">
        <v>40000000</v>
      </c>
      <c r="M34" s="32">
        <v>35000000</v>
      </c>
      <c r="N34" s="27">
        <v>5000000</v>
      </c>
      <c r="O34" s="17">
        <v>20.03</v>
      </c>
      <c r="P34" s="27">
        <v>436735000</v>
      </c>
      <c r="Q34" s="17">
        <v>10.918374999999999</v>
      </c>
      <c r="R34" s="27">
        <v>166700</v>
      </c>
      <c r="S34" s="39" t="s">
        <v>46</v>
      </c>
    </row>
    <row r="35" spans="1:19" s="1" customFormat="1" ht="15" customHeight="1" x14ac:dyDescent="0.25">
      <c r="A35" s="13">
        <v>33</v>
      </c>
      <c r="B35" s="16" t="s">
        <v>61</v>
      </c>
      <c r="C35" s="31">
        <v>44876</v>
      </c>
      <c r="D35" s="18" t="s">
        <v>74</v>
      </c>
      <c r="E35" s="14">
        <v>44894</v>
      </c>
      <c r="F35" s="35" t="s">
        <v>86</v>
      </c>
      <c r="G35" s="18" t="s">
        <v>1</v>
      </c>
      <c r="H35" s="32">
        <v>153800000</v>
      </c>
      <c r="I35" s="32">
        <v>8267350.416323985</v>
      </c>
      <c r="J35" s="27">
        <v>60000000</v>
      </c>
      <c r="K35" s="27">
        <f>Table3[[#This Row],[Mevcut Sermaye (TL)]]+Table3[[#This Row],[Nominal Sermaye Artış Tutarı (TL)]]</f>
        <v>80000000</v>
      </c>
      <c r="L35" s="27">
        <v>20000000</v>
      </c>
      <c r="M35" s="32">
        <v>20000000</v>
      </c>
      <c r="N35" s="27">
        <v>0</v>
      </c>
      <c r="O35" s="17">
        <v>7.69</v>
      </c>
      <c r="P35" s="27">
        <v>101067000</v>
      </c>
      <c r="Q35" s="17">
        <v>5.05335</v>
      </c>
      <c r="R35" s="27">
        <v>399300</v>
      </c>
      <c r="S35" s="39" t="s">
        <v>48</v>
      </c>
    </row>
    <row r="36" spans="1:19" s="1" customFormat="1" ht="15" customHeight="1" x14ac:dyDescent="0.25">
      <c r="A36" s="13">
        <v>34</v>
      </c>
      <c r="B36" s="16" t="s">
        <v>62</v>
      </c>
      <c r="C36" s="31">
        <v>44897</v>
      </c>
      <c r="D36" s="18" t="s">
        <v>75</v>
      </c>
      <c r="E36" s="14">
        <v>44909</v>
      </c>
      <c r="F36" s="35" t="s">
        <v>82</v>
      </c>
      <c r="G36" s="18" t="s">
        <v>20</v>
      </c>
      <c r="H36" s="32">
        <v>450450000</v>
      </c>
      <c r="I36" s="32">
        <v>24190689.981096409</v>
      </c>
      <c r="J36" s="27">
        <v>244750000</v>
      </c>
      <c r="K36" s="27">
        <f>Table3[[#This Row],[Mevcut Sermaye (TL)]]+Table3[[#This Row],[Nominal Sermaye Artış Tutarı (TL)]]</f>
        <v>269500000</v>
      </c>
      <c r="L36" s="27">
        <v>49500000</v>
      </c>
      <c r="M36" s="32">
        <v>24750000</v>
      </c>
      <c r="N36" s="27">
        <v>24750000</v>
      </c>
      <c r="O36" s="17">
        <v>9.1</v>
      </c>
      <c r="P36" s="27">
        <v>180705000</v>
      </c>
      <c r="Q36" s="17">
        <v>3.6506060606060604</v>
      </c>
      <c r="R36" s="27">
        <v>630866</v>
      </c>
      <c r="S36" s="39" t="s">
        <v>48</v>
      </c>
    </row>
    <row r="37" spans="1:19" s="1" customFormat="1" ht="15" customHeight="1" x14ac:dyDescent="0.25">
      <c r="A37" s="13">
        <v>35</v>
      </c>
      <c r="B37" s="16" t="s">
        <v>63</v>
      </c>
      <c r="C37" s="31">
        <v>44897</v>
      </c>
      <c r="D37" s="18" t="s">
        <v>75</v>
      </c>
      <c r="E37" s="14">
        <v>44910</v>
      </c>
      <c r="F37" s="35" t="s">
        <v>87</v>
      </c>
      <c r="G37" s="18" t="s">
        <v>1</v>
      </c>
      <c r="H37" s="32">
        <v>170400000</v>
      </c>
      <c r="I37" s="32">
        <v>9151056.8826258816</v>
      </c>
      <c r="J37" s="27">
        <v>56000000</v>
      </c>
      <c r="K37" s="27">
        <f>Table3[[#This Row],[Mevcut Sermaye (TL)]]+Table3[[#This Row],[Nominal Sermaye Artış Tutarı (TL)]]</f>
        <v>62000000</v>
      </c>
      <c r="L37" s="27">
        <v>12000000</v>
      </c>
      <c r="M37" s="32">
        <v>6000000</v>
      </c>
      <c r="N37" s="27">
        <v>6000000</v>
      </c>
      <c r="O37" s="17">
        <v>14.2</v>
      </c>
      <c r="P37" s="27">
        <v>260734000</v>
      </c>
      <c r="Q37" s="17">
        <v>21.727833333333333</v>
      </c>
      <c r="R37" s="27">
        <v>538277</v>
      </c>
      <c r="S37" s="39" t="s">
        <v>46</v>
      </c>
    </row>
    <row r="38" spans="1:19" s="1" customFormat="1" ht="15" customHeight="1" x14ac:dyDescent="0.25">
      <c r="A38" s="13">
        <v>36</v>
      </c>
      <c r="B38" s="16" t="s">
        <v>64</v>
      </c>
      <c r="C38" s="31">
        <v>44904</v>
      </c>
      <c r="D38" s="18" t="s">
        <v>76</v>
      </c>
      <c r="E38" s="14">
        <v>44917</v>
      </c>
      <c r="F38" s="35" t="s">
        <v>122</v>
      </c>
      <c r="G38" s="18" t="s">
        <v>20</v>
      </c>
      <c r="H38" s="32">
        <v>3481500000</v>
      </c>
      <c r="I38" s="32">
        <v>187040658.44328877</v>
      </c>
      <c r="J38" s="27">
        <v>208000000</v>
      </c>
      <c r="K38" s="27">
        <f>Table3[[#This Row],[Mevcut Sermaye (TL)]]+Table3[[#This Row],[Nominal Sermaye Artış Tutarı (TL)]]</f>
        <v>247500000</v>
      </c>
      <c r="L38" s="27">
        <v>52750000</v>
      </c>
      <c r="M38" s="32">
        <v>39500000</v>
      </c>
      <c r="N38" s="27">
        <v>13250000</v>
      </c>
      <c r="O38" s="17">
        <v>66</v>
      </c>
      <c r="P38" s="27">
        <v>229317000</v>
      </c>
      <c r="Q38" s="17">
        <v>4.347241706161137</v>
      </c>
      <c r="R38" s="27">
        <v>395108</v>
      </c>
      <c r="S38" s="39" t="s">
        <v>46</v>
      </c>
    </row>
    <row r="39" spans="1:19" s="1" customFormat="1" x14ac:dyDescent="0.25">
      <c r="A39" s="13">
        <v>37</v>
      </c>
      <c r="B39" s="16" t="s">
        <v>65</v>
      </c>
      <c r="C39" s="31">
        <v>44904</v>
      </c>
      <c r="D39" s="18" t="s">
        <v>77</v>
      </c>
      <c r="E39" s="14">
        <v>44917</v>
      </c>
      <c r="F39" s="35" t="s">
        <v>123</v>
      </c>
      <c r="G39" s="18" t="s">
        <v>1</v>
      </c>
      <c r="H39" s="32">
        <v>165000000</v>
      </c>
      <c r="I39" s="32">
        <v>8858870.1450707112</v>
      </c>
      <c r="J39" s="27">
        <v>52500000</v>
      </c>
      <c r="K39" s="27">
        <f>Table3[[#This Row],[Mevcut Sermaye (TL)]]+Table3[[#This Row],[Nominal Sermaye Artış Tutarı (TL)]]</f>
        <v>67500000</v>
      </c>
      <c r="L39" s="27">
        <v>16500000</v>
      </c>
      <c r="M39" s="32">
        <v>15000000</v>
      </c>
      <c r="N39" s="27">
        <v>1500000</v>
      </c>
      <c r="O39" s="17">
        <v>10</v>
      </c>
      <c r="P39" s="27">
        <v>1295132000</v>
      </c>
      <c r="Q39" s="17">
        <v>78.49284848484848</v>
      </c>
      <c r="R39" s="27">
        <v>353837</v>
      </c>
      <c r="S39" s="39" t="s">
        <v>46</v>
      </c>
    </row>
    <row r="40" spans="1:19" s="1" customFormat="1" ht="15" customHeight="1" x14ac:dyDescent="0.25">
      <c r="A40" s="13">
        <v>35</v>
      </c>
      <c r="B40" s="16" t="s">
        <v>66</v>
      </c>
      <c r="C40" s="31">
        <v>44910</v>
      </c>
      <c r="D40" s="18" t="s">
        <v>78</v>
      </c>
      <c r="E40" s="14">
        <v>44924</v>
      </c>
      <c r="F40" s="35" t="s">
        <v>79</v>
      </c>
      <c r="G40" s="18" t="s">
        <v>20</v>
      </c>
      <c r="H40" s="27">
        <v>352192500</v>
      </c>
      <c r="I40" s="32">
        <v>18875005.359286573</v>
      </c>
      <c r="J40" s="27">
        <v>82500000</v>
      </c>
      <c r="K40" s="27">
        <f>Table3[[#This Row],[Mevcut Sermaye (TL)]]+Table3[[#This Row],[Nominal Sermaye Artış Tutarı (TL)]]</f>
        <v>99000000</v>
      </c>
      <c r="L40" s="27">
        <v>24750000</v>
      </c>
      <c r="M40" s="32">
        <v>16500000</v>
      </c>
      <c r="N40" s="27">
        <v>8250000</v>
      </c>
      <c r="O40" s="17">
        <v>14.23</v>
      </c>
      <c r="P40" s="27">
        <v>111317000</v>
      </c>
      <c r="Q40" s="17">
        <v>4.4976565656565652</v>
      </c>
      <c r="R40" s="27">
        <v>883639</v>
      </c>
      <c r="S40" s="39" t="s">
        <v>46</v>
      </c>
    </row>
    <row r="41" spans="1:19" s="1" customFormat="1" ht="15" customHeight="1" x14ac:dyDescent="0.25">
      <c r="A41" s="13"/>
      <c r="B41" s="16"/>
      <c r="C41" s="11"/>
      <c r="D41" s="18"/>
      <c r="E41" s="14"/>
      <c r="F41" s="35"/>
      <c r="G41" s="18"/>
      <c r="H41" s="27"/>
      <c r="I41" s="27"/>
      <c r="J41" s="27"/>
      <c r="K41" s="27"/>
      <c r="L41" s="27"/>
      <c r="M41" s="27"/>
      <c r="N41" s="33"/>
      <c r="O41" s="17"/>
      <c r="P41" s="27"/>
      <c r="Q41" s="17"/>
      <c r="R41" s="27"/>
      <c r="S41" s="17"/>
    </row>
    <row r="42" spans="1:19" s="1" customFormat="1" ht="15.75" customHeight="1" x14ac:dyDescent="0.3">
      <c r="A42" s="13"/>
      <c r="B42" s="12" t="s">
        <v>0</v>
      </c>
      <c r="C42" s="10"/>
      <c r="D42" s="10"/>
      <c r="E42" s="10"/>
      <c r="F42" s="36"/>
      <c r="G42" s="10"/>
      <c r="H42" s="28">
        <f>SUM(H3:H41)</f>
        <v>18802745156.5</v>
      </c>
      <c r="I42" s="28">
        <f>SUM(I3:I41)</f>
        <v>1149567153.9851685</v>
      </c>
      <c r="J42" s="28"/>
      <c r="K42" s="8"/>
      <c r="L42" s="28">
        <f>SUM(L3:L41)</f>
        <v>1620098773</v>
      </c>
      <c r="M42" s="28">
        <f>SUM(M3:M41)</f>
        <v>1042166905</v>
      </c>
      <c r="N42" s="28">
        <f>SUM(N3:N41)</f>
        <v>577932176</v>
      </c>
      <c r="O42" s="25"/>
      <c r="P42" s="28">
        <f>SUM(P3:P41)</f>
        <v>7667426917</v>
      </c>
      <c r="Q42" s="29">
        <f>Table3[[#This Row],[Talep Edilen Pay (Nominal TL)]]/Table3[[#This Row],[Halka Arz Edilen Pay (Nominal TL)]]</f>
        <v>4.7326910215492148</v>
      </c>
      <c r="R42" s="25"/>
      <c r="S42" s="9"/>
    </row>
    <row r="43" spans="1:19" s="1" customFormat="1" ht="15.75" customHeight="1" x14ac:dyDescent="0.25">
      <c r="A43" s="3" t="s">
        <v>12</v>
      </c>
      <c r="B43" s="2"/>
      <c r="C43" s="7"/>
      <c r="D43" s="7"/>
      <c r="E43" s="7"/>
      <c r="F43" s="37"/>
      <c r="G43" s="6"/>
      <c r="H43" s="5"/>
      <c r="I43" s="5"/>
      <c r="J43" s="5"/>
      <c r="K43" s="5"/>
      <c r="L43" s="5"/>
      <c r="M43" s="4"/>
      <c r="N43" s="4"/>
      <c r="O43" s="4"/>
      <c r="P43" s="4"/>
      <c r="Q43" s="4"/>
      <c r="R43" s="4"/>
      <c r="S43" s="4"/>
    </row>
    <row r="44" spans="1:19" x14ac:dyDescent="0.25">
      <c r="A44" s="3" t="s">
        <v>22</v>
      </c>
      <c r="B44" s="2"/>
      <c r="C44" s="7"/>
      <c r="D44" s="7"/>
      <c r="E44" s="7"/>
      <c r="F44" s="37"/>
      <c r="G44" s="6"/>
      <c r="H44" s="5"/>
      <c r="I44" s="5"/>
      <c r="J44" s="5"/>
      <c r="K44" s="5"/>
      <c r="L44" s="5"/>
      <c r="M44" s="4"/>
      <c r="N44" s="4"/>
      <c r="O44" s="4"/>
      <c r="P44" s="4"/>
      <c r="Q44" s="4"/>
      <c r="R44" s="4"/>
      <c r="S44" s="4"/>
    </row>
  </sheetData>
  <mergeCells count="1">
    <mergeCell ref="A1:I1"/>
  </mergeCells>
  <pageMargins left="0.7" right="0.7" top="0.75" bottom="0.75" header="0.3" footer="0.3"/>
  <pageSetup paperSize="9" orientation="portrait" r:id="rId1"/>
  <ignoredErrors>
    <ignoredError sqref="Q25:Q40 Q3:Q14 Q15:Q16 Q17:Q19 Q20:Q21 Q22:Q24 L3:L14 L15:L17 L20:L25 L31:L35 L27:L30 L26 L18:L19 L36:L40 L42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Payların İlk Halka Arzı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spk</dc:creator>
  <cp:lastModifiedBy>Windows Kullanıcısı</cp:lastModifiedBy>
  <dcterms:created xsi:type="dcterms:W3CDTF">2019-01-29T06:56:05Z</dcterms:created>
  <dcterms:modified xsi:type="dcterms:W3CDTF">2023-10-16T12:45:08Z</dcterms:modified>
</cp:coreProperties>
</file>